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itial Extractions" sheetId="1" r:id="rId4"/>
    <sheet state="visible" name="Extractions Aliquoted for Libra" sheetId="2" r:id="rId5"/>
    <sheet state="visible" name="Barcode Planning ITS" sheetId="3" r:id="rId6"/>
    <sheet state="visible" name="Barcode Planning 16S" sheetId="4" r:id="rId7"/>
  </sheets>
  <definedNames/>
  <calcPr/>
</workbook>
</file>

<file path=xl/sharedStrings.xml><?xml version="1.0" encoding="utf-8"?>
<sst xmlns="http://schemas.openxmlformats.org/spreadsheetml/2006/main" count="848" uniqueCount="219">
  <si>
    <t>Extraction Date</t>
  </si>
  <si>
    <t>Date Collected</t>
  </si>
  <si>
    <t>Starting depth (cm)</t>
  </si>
  <si>
    <t>Tree</t>
  </si>
  <si>
    <t>Depth cm</t>
  </si>
  <si>
    <t>RNA ng/uL</t>
  </si>
  <si>
    <t>DNA ng/uL</t>
  </si>
  <si>
    <t>S1 RNA</t>
  </si>
  <si>
    <t>S2 RNA</t>
  </si>
  <si>
    <t>S1 DNA</t>
  </si>
  <si>
    <t>S2 DNA</t>
  </si>
  <si>
    <t>S1 DNA 2nd round</t>
  </si>
  <si>
    <t>S2 DNA 2nd round</t>
  </si>
  <si>
    <t>Notes_Intial_ Extractions</t>
  </si>
  <si>
    <t>20uL RNA DILUTION 2ng/uL</t>
  </si>
  <si>
    <t>20uL DNA Dilution 2ng/uL</t>
  </si>
  <si>
    <t>Soil Mass (g)</t>
  </si>
  <si>
    <t>T02</t>
  </si>
  <si>
    <t>0-7.5</t>
  </si>
  <si>
    <t>15-22.5</t>
  </si>
  <si>
    <t>22.5-30</t>
  </si>
  <si>
    <t>30-37.5</t>
  </si>
  <si>
    <t>Brown, lots of DNA, 1st batch with new hsDNA 1X program</t>
  </si>
  <si>
    <t>37.5-45</t>
  </si>
  <si>
    <t>7.5-15</t>
  </si>
  <si>
    <t>T03</t>
  </si>
  <si>
    <t>T06</t>
  </si>
  <si>
    <t>T04</t>
  </si>
  <si>
    <t>T07</t>
  </si>
  <si>
    <t>T05</t>
  </si>
  <si>
    <t>Brown Burned?</t>
  </si>
  <si>
    <t>60-70</t>
  </si>
  <si>
    <t>Letter in Batch</t>
  </si>
  <si>
    <t>DO RNA Box ID</t>
  </si>
  <si>
    <t>DO DNA Box ID</t>
  </si>
  <si>
    <t>RNA PCR Water to be Added?</t>
  </si>
  <si>
    <t>DNA PCR Water to be added?</t>
  </si>
  <si>
    <t>cDNA conc. ng/uL</t>
  </si>
  <si>
    <t>uL of cDNA to input</t>
  </si>
  <si>
    <t>Final Input ng</t>
  </si>
  <si>
    <t>notes_RNA_DNA</t>
  </si>
  <si>
    <t>B</t>
  </si>
  <si>
    <t>D01-R</t>
  </si>
  <si>
    <t>D33-D</t>
  </si>
  <si>
    <t>50uL</t>
  </si>
  <si>
    <t>150uL</t>
  </si>
  <si>
    <t>C</t>
  </si>
  <si>
    <t>D02-R</t>
  </si>
  <si>
    <t>D34-D</t>
  </si>
  <si>
    <t>A</t>
  </si>
  <si>
    <t>D03-R</t>
  </si>
  <si>
    <t>D35-D</t>
  </si>
  <si>
    <t>100uL</t>
  </si>
  <si>
    <t>D</t>
  </si>
  <si>
    <t>D04-R</t>
  </si>
  <si>
    <t>D36-D</t>
  </si>
  <si>
    <t>300uL</t>
  </si>
  <si>
    <t>D05-R</t>
  </si>
  <si>
    <t>D37-D</t>
  </si>
  <si>
    <t>D06-R</t>
  </si>
  <si>
    <t>D38-D</t>
  </si>
  <si>
    <t>D07-R</t>
  </si>
  <si>
    <t>D39-D</t>
  </si>
  <si>
    <t>25uL</t>
  </si>
  <si>
    <t>250uL</t>
  </si>
  <si>
    <t>D08-R</t>
  </si>
  <si>
    <t>D40-D</t>
  </si>
  <si>
    <t>D09-R</t>
  </si>
  <si>
    <t>D41-D</t>
  </si>
  <si>
    <t>D10-R</t>
  </si>
  <si>
    <t>D42-D</t>
  </si>
  <si>
    <t>D11-R</t>
  </si>
  <si>
    <t>D43-D</t>
  </si>
  <si>
    <t>D12-R</t>
  </si>
  <si>
    <t>D45-D</t>
  </si>
  <si>
    <t>DNA</t>
  </si>
  <si>
    <t>D13-R</t>
  </si>
  <si>
    <t>D46-D</t>
  </si>
  <si>
    <t>D14-R</t>
  </si>
  <si>
    <t>D47-D</t>
  </si>
  <si>
    <t>D15-R</t>
  </si>
  <si>
    <t>D48-D</t>
  </si>
  <si>
    <t>D16-R</t>
  </si>
  <si>
    <t>D49-D</t>
  </si>
  <si>
    <t>350uL</t>
  </si>
  <si>
    <t>D17-R</t>
  </si>
  <si>
    <t>D50-D</t>
  </si>
  <si>
    <t>D18-R</t>
  </si>
  <si>
    <t>D51-D</t>
  </si>
  <si>
    <t>D19-R</t>
  </si>
  <si>
    <t>D52-D</t>
  </si>
  <si>
    <t>D20-R</t>
  </si>
  <si>
    <t>D53-D</t>
  </si>
  <si>
    <t>D21-R</t>
  </si>
  <si>
    <t>D54-D</t>
  </si>
  <si>
    <t>D22-R</t>
  </si>
  <si>
    <t>D55-D</t>
  </si>
  <si>
    <t>D23-R</t>
  </si>
  <si>
    <t>D56-D</t>
  </si>
  <si>
    <t>D24-R</t>
  </si>
  <si>
    <t>D57-D</t>
  </si>
  <si>
    <t>D25-R</t>
  </si>
  <si>
    <t>D58-D</t>
  </si>
  <si>
    <t>D26-R</t>
  </si>
  <si>
    <t>D60-D</t>
  </si>
  <si>
    <t>D27-R</t>
  </si>
  <si>
    <t>D61-D</t>
  </si>
  <si>
    <t>D28-R</t>
  </si>
  <si>
    <t>RNA good/not DNA , DNA Mixed with another sample</t>
  </si>
  <si>
    <t>D29-R</t>
  </si>
  <si>
    <t>D62-D</t>
  </si>
  <si>
    <t>PCR WATER</t>
  </si>
  <si>
    <t>D30-R</t>
  </si>
  <si>
    <t>D63-D</t>
  </si>
  <si>
    <t>D31-R</t>
  </si>
  <si>
    <t>D44-D</t>
  </si>
  <si>
    <t>Don't Dilute, just use. DNA last of batcj</t>
  </si>
  <si>
    <t>D59-D</t>
  </si>
  <si>
    <t>ITS FWD barcode</t>
  </si>
  <si>
    <t>ITS REV barcode</t>
  </si>
  <si>
    <t>Well Position_R</t>
  </si>
  <si>
    <t>Well position_D</t>
  </si>
  <si>
    <t>PCR_F_bc001</t>
  </si>
  <si>
    <t>PCR_R_bc001</t>
  </si>
  <si>
    <t>A1</t>
  </si>
  <si>
    <t>PCR_F_bc009</t>
  </si>
  <si>
    <t>PCR_R_bc002</t>
  </si>
  <si>
    <t>G4</t>
  </si>
  <si>
    <t>PCR_F_bc002</t>
  </si>
  <si>
    <t>B1</t>
  </si>
  <si>
    <t>PCR_F_bc010</t>
  </si>
  <si>
    <t>H4</t>
  </si>
  <si>
    <t>PCR_F_bc003</t>
  </si>
  <si>
    <t>C1</t>
  </si>
  <si>
    <t>PCR_F_bc011</t>
  </si>
  <si>
    <t>A5</t>
  </si>
  <si>
    <t>PCR_F_bc004</t>
  </si>
  <si>
    <t>D1</t>
  </si>
  <si>
    <t>PCR_F_bc012</t>
  </si>
  <si>
    <t>B5</t>
  </si>
  <si>
    <t>PCR_F_bc005</t>
  </si>
  <si>
    <t>E1</t>
  </si>
  <si>
    <t>PCR_F_bc013</t>
  </si>
  <si>
    <t>C5</t>
  </si>
  <si>
    <t>PCR_F_bc006</t>
  </si>
  <si>
    <t>F1</t>
  </si>
  <si>
    <t>PCR_F_bc014</t>
  </si>
  <si>
    <t>D5</t>
  </si>
  <si>
    <t>PCR_F_bc007</t>
  </si>
  <si>
    <t>G1</t>
  </si>
  <si>
    <t>PCR_F_bc015</t>
  </si>
  <si>
    <t>E5</t>
  </si>
  <si>
    <t>PCR_F_bc008</t>
  </si>
  <si>
    <t>H1</t>
  </si>
  <si>
    <t>PCR_F_bc016</t>
  </si>
  <si>
    <t>F5</t>
  </si>
  <si>
    <t>A2</t>
  </si>
  <si>
    <t>PCR_F_bc017</t>
  </si>
  <si>
    <t>G5</t>
  </si>
  <si>
    <t>B2</t>
  </si>
  <si>
    <t>PCR_F_bc018</t>
  </si>
  <si>
    <t>H5</t>
  </si>
  <si>
    <t>C2</t>
  </si>
  <si>
    <t>PCR_F_bc019</t>
  </si>
  <si>
    <t>A6</t>
  </si>
  <si>
    <t>D2</t>
  </si>
  <si>
    <t>PCR_F_bc020</t>
  </si>
  <si>
    <t>B6</t>
  </si>
  <si>
    <t>E2</t>
  </si>
  <si>
    <t>PCR_F_bc021</t>
  </si>
  <si>
    <t>C6</t>
  </si>
  <si>
    <t>F2</t>
  </si>
  <si>
    <t>PCR_F_bc022</t>
  </si>
  <si>
    <t>D6</t>
  </si>
  <si>
    <t>G2</t>
  </si>
  <si>
    <t>PCR_R_bc003</t>
  </si>
  <si>
    <t>E6</t>
  </si>
  <si>
    <t>H2</t>
  </si>
  <si>
    <t>F6</t>
  </si>
  <si>
    <t>A3</t>
  </si>
  <si>
    <t>G6</t>
  </si>
  <si>
    <t>B3</t>
  </si>
  <si>
    <t>H6</t>
  </si>
  <si>
    <t>C3</t>
  </si>
  <si>
    <t>A7</t>
  </si>
  <si>
    <t>D3</t>
  </si>
  <si>
    <t>B7</t>
  </si>
  <si>
    <t>E3</t>
  </si>
  <si>
    <t>C7</t>
  </si>
  <si>
    <t>F3</t>
  </si>
  <si>
    <t>D7</t>
  </si>
  <si>
    <t>G3</t>
  </si>
  <si>
    <t>E7</t>
  </si>
  <si>
    <t>H3</t>
  </si>
  <si>
    <t>F7</t>
  </si>
  <si>
    <t>A4</t>
  </si>
  <si>
    <t>G7</t>
  </si>
  <si>
    <t>B4</t>
  </si>
  <si>
    <t>H7</t>
  </si>
  <si>
    <t>C4</t>
  </si>
  <si>
    <t>B8</t>
  </si>
  <si>
    <t>D4</t>
  </si>
  <si>
    <t>C8</t>
  </si>
  <si>
    <t>PCR_F_bc023</t>
  </si>
  <si>
    <t>PCR_R_bc023</t>
  </si>
  <si>
    <t>D8</t>
  </si>
  <si>
    <t>F4</t>
  </si>
  <si>
    <t>E8</t>
  </si>
  <si>
    <t>D0-R</t>
  </si>
  <si>
    <t>N/A</t>
  </si>
  <si>
    <t>A8</t>
  </si>
  <si>
    <t>E4</t>
  </si>
  <si>
    <t>D0-D</t>
  </si>
  <si>
    <t>16S FWD barcode</t>
  </si>
  <si>
    <t>16S REV barcode</t>
  </si>
  <si>
    <t>PCR_R_bc005</t>
  </si>
  <si>
    <t>PCR_R_bc004</t>
  </si>
  <si>
    <t>PCR_R_bc006</t>
  </si>
  <si>
    <t>PCR_F_bc024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</si>
</sst>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&quot;Courier New&quot;"/>
    </font>
    <font>
      <color theme="1"/>
      <name val="Courier New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2" fontId="1" numFmtId="164" xfId="0" applyAlignment="1" applyFill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165" xfId="0" applyAlignment="1" applyFont="1" applyNumberFormat="1">
      <alignment readingOrder="0"/>
    </xf>
    <xf borderId="0" fillId="3" fontId="1" numFmtId="164" xfId="0" applyAlignment="1" applyFill="1" applyFont="1" applyNumberFormat="1">
      <alignment readingOrder="0"/>
    </xf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0" fontId="2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5" max="15" width="20.38"/>
    <col customWidth="1" min="16" max="16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45177.0</v>
      </c>
      <c r="B2" s="1">
        <v>80523.0</v>
      </c>
      <c r="C2" s="1">
        <v>0.0</v>
      </c>
      <c r="D2" s="1" t="s">
        <v>17</v>
      </c>
      <c r="E2" s="1" t="s">
        <v>18</v>
      </c>
      <c r="F2" s="1">
        <v>114.0</v>
      </c>
      <c r="G2" s="1">
        <v>108.0</v>
      </c>
      <c r="H2" s="1">
        <v>65.55</v>
      </c>
      <c r="I2" s="1">
        <v>1333.35</v>
      </c>
      <c r="J2" s="1">
        <v>36.3</v>
      </c>
      <c r="K2" s="1">
        <v>19762.5</v>
      </c>
      <c r="O2" s="3">
        <f t="shared" ref="O2:P2" si="1">(2*20)/F2</f>
        <v>0.350877193</v>
      </c>
      <c r="P2" s="3">
        <f t="shared" si="1"/>
        <v>0.3703703704</v>
      </c>
      <c r="Q2" s="1">
        <v>1.9</v>
      </c>
    </row>
    <row r="3">
      <c r="A3" s="2">
        <v>45230.0</v>
      </c>
      <c r="B3" s="1">
        <v>80523.0</v>
      </c>
      <c r="C3" s="1">
        <v>15.0</v>
      </c>
      <c r="D3" s="1" t="s">
        <v>17</v>
      </c>
      <c r="E3" s="1" t="s">
        <v>19</v>
      </c>
      <c r="F3" s="1">
        <v>36.2</v>
      </c>
      <c r="G3" s="1">
        <v>204.0</v>
      </c>
      <c r="H3" s="1">
        <v>66.93</v>
      </c>
      <c r="I3" s="1">
        <v>1511.77</v>
      </c>
      <c r="J3" s="1">
        <v>37.59</v>
      </c>
      <c r="K3" s="1">
        <v>15915.54</v>
      </c>
      <c r="O3" s="3">
        <f t="shared" ref="O3:P3" si="2">(2*20)/F3</f>
        <v>1.104972376</v>
      </c>
      <c r="P3" s="3">
        <f t="shared" si="2"/>
        <v>0.1960784314</v>
      </c>
      <c r="Q3" s="1">
        <v>2.09</v>
      </c>
    </row>
    <row r="4">
      <c r="A4" s="4">
        <v>45168.0</v>
      </c>
      <c r="B4" s="1">
        <v>80523.0</v>
      </c>
      <c r="C4" s="1">
        <v>22.5</v>
      </c>
      <c r="D4" s="1" t="s">
        <v>17</v>
      </c>
      <c r="E4" s="1" t="s">
        <v>20</v>
      </c>
      <c r="F4" s="1">
        <v>52.6</v>
      </c>
      <c r="G4" s="1">
        <v>290.0</v>
      </c>
      <c r="H4" s="1">
        <v>74.08</v>
      </c>
      <c r="I4" s="1">
        <v>1381.9</v>
      </c>
      <c r="J4" s="1">
        <v>32.53</v>
      </c>
      <c r="K4" s="1">
        <v>15621.61</v>
      </c>
      <c r="O4" s="3">
        <f t="shared" ref="O4:P4" si="3">(2*20)/F4</f>
        <v>0.7604562738</v>
      </c>
      <c r="P4" s="3">
        <f t="shared" si="3"/>
        <v>0.1379310345</v>
      </c>
      <c r="Q4" s="1">
        <v>2.0</v>
      </c>
    </row>
    <row r="5">
      <c r="A5" s="4">
        <v>45181.0</v>
      </c>
      <c r="B5" s="1">
        <v>80523.0</v>
      </c>
      <c r="C5" s="1">
        <v>30.0</v>
      </c>
      <c r="D5" s="1" t="s">
        <v>17</v>
      </c>
      <c r="E5" s="1" t="s">
        <v>21</v>
      </c>
      <c r="F5" s="1">
        <v>15.2</v>
      </c>
      <c r="G5" s="1">
        <v>8.14</v>
      </c>
      <c r="H5" s="1">
        <v>65.37</v>
      </c>
      <c r="I5" s="1">
        <v>1424.89</v>
      </c>
      <c r="J5" s="1">
        <v>34.95</v>
      </c>
      <c r="K5" s="1">
        <v>15961.24</v>
      </c>
      <c r="N5" s="1" t="s">
        <v>22</v>
      </c>
      <c r="O5" s="3">
        <f t="shared" ref="O5:P5" si="4">(2*20)/F5</f>
        <v>2.631578947</v>
      </c>
      <c r="P5" s="3">
        <f t="shared" si="4"/>
        <v>4.914004914</v>
      </c>
      <c r="Q5" s="1">
        <v>2.2</v>
      </c>
    </row>
    <row r="6">
      <c r="A6" s="2">
        <v>45230.0</v>
      </c>
      <c r="B6" s="1">
        <v>80523.0</v>
      </c>
      <c r="C6" s="1">
        <v>37.5</v>
      </c>
      <c r="D6" s="1" t="s">
        <v>17</v>
      </c>
      <c r="E6" s="1" t="s">
        <v>23</v>
      </c>
      <c r="F6" s="1">
        <v>10.6</v>
      </c>
      <c r="G6" s="1">
        <v>0.806</v>
      </c>
      <c r="H6" s="1">
        <v>66.93</v>
      </c>
      <c r="I6" s="1">
        <v>1511.77</v>
      </c>
      <c r="J6" s="1">
        <v>37.59</v>
      </c>
      <c r="K6" s="1">
        <v>15915.54</v>
      </c>
      <c r="O6" s="3">
        <f t="shared" ref="O6:P6" si="5">(2*20)/F6</f>
        <v>3.773584906</v>
      </c>
      <c r="P6" s="3">
        <f t="shared" si="5"/>
        <v>49.62779156</v>
      </c>
      <c r="Q6" s="1">
        <v>2.1</v>
      </c>
    </row>
    <row r="7">
      <c r="A7" s="5">
        <v>45198.0</v>
      </c>
      <c r="B7" s="1">
        <v>80523.0</v>
      </c>
      <c r="C7" s="1">
        <v>7.5</v>
      </c>
      <c r="D7" s="1" t="s">
        <v>17</v>
      </c>
      <c r="E7" s="1" t="s">
        <v>24</v>
      </c>
      <c r="F7" s="1">
        <v>48.4</v>
      </c>
      <c r="G7" s="1">
        <v>78.0</v>
      </c>
      <c r="H7" s="1">
        <v>67.53</v>
      </c>
      <c r="I7" s="1">
        <v>1501.25</v>
      </c>
      <c r="J7" s="1">
        <v>34.5</v>
      </c>
      <c r="K7" s="1">
        <v>17885.8</v>
      </c>
      <c r="O7" s="3">
        <f t="shared" ref="O7:P7" si="6">(2*20)/F7</f>
        <v>0.826446281</v>
      </c>
      <c r="P7" s="3">
        <f t="shared" si="6"/>
        <v>0.5128205128</v>
      </c>
      <c r="Q7" s="1">
        <v>1.9</v>
      </c>
    </row>
    <row r="8">
      <c r="A8" s="2">
        <v>45223.0</v>
      </c>
      <c r="B8" s="1">
        <v>200523.0</v>
      </c>
      <c r="C8" s="1">
        <v>0.0</v>
      </c>
      <c r="D8" s="1" t="s">
        <v>25</v>
      </c>
      <c r="E8" s="1" t="s">
        <v>18</v>
      </c>
      <c r="F8" s="1">
        <v>136.0</v>
      </c>
      <c r="G8" s="1">
        <v>246.0</v>
      </c>
      <c r="H8" s="1">
        <v>70.25</v>
      </c>
      <c r="I8" s="1">
        <v>1191.69</v>
      </c>
      <c r="J8" s="1">
        <v>36.85</v>
      </c>
      <c r="K8" s="1">
        <v>17293.9</v>
      </c>
      <c r="O8" s="3">
        <f t="shared" ref="O8:P8" si="7">(2*20)/F8</f>
        <v>0.2941176471</v>
      </c>
      <c r="P8" s="3">
        <f t="shared" si="7"/>
        <v>0.162601626</v>
      </c>
      <c r="Q8" s="1">
        <v>1.99</v>
      </c>
    </row>
    <row r="9">
      <c r="A9" s="5">
        <v>45196.0</v>
      </c>
      <c r="B9" s="1">
        <v>200523.0</v>
      </c>
      <c r="C9" s="1">
        <v>15.0</v>
      </c>
      <c r="D9" s="1" t="s">
        <v>25</v>
      </c>
      <c r="E9" s="1" t="s">
        <v>19</v>
      </c>
      <c r="F9" s="1">
        <v>69.0</v>
      </c>
      <c r="G9" s="1">
        <v>308.0</v>
      </c>
      <c r="H9" s="1">
        <v>63.09</v>
      </c>
      <c r="I9" s="1">
        <v>1050.1</v>
      </c>
      <c r="J9" s="1">
        <v>34.21</v>
      </c>
      <c r="K9" s="1">
        <v>16394.42</v>
      </c>
      <c r="O9" s="3">
        <f t="shared" ref="O9:P9" si="8">(2*20)/F9</f>
        <v>0.5797101449</v>
      </c>
      <c r="P9" s="3">
        <f t="shared" si="8"/>
        <v>0.1298701299</v>
      </c>
      <c r="Q9" s="1">
        <v>2.0</v>
      </c>
    </row>
    <row r="10">
      <c r="A10" s="6">
        <v>45188.0</v>
      </c>
      <c r="B10" s="1">
        <v>200523.0</v>
      </c>
      <c r="C10" s="1">
        <v>22.5</v>
      </c>
      <c r="D10" s="1" t="s">
        <v>25</v>
      </c>
      <c r="E10" s="1" t="s">
        <v>20</v>
      </c>
      <c r="F10" s="1">
        <v>28.2</v>
      </c>
      <c r="G10" s="1">
        <v>224.0</v>
      </c>
      <c r="H10" s="1">
        <v>63.47</v>
      </c>
      <c r="I10" s="1">
        <v>1344.78</v>
      </c>
      <c r="J10" s="1">
        <v>35.24</v>
      </c>
      <c r="K10" s="1">
        <v>16798.52</v>
      </c>
      <c r="O10" s="3">
        <f t="shared" ref="O10:P10" si="9">(2*20)/F10</f>
        <v>1.418439716</v>
      </c>
      <c r="P10" s="3">
        <f t="shared" si="9"/>
        <v>0.1785714286</v>
      </c>
      <c r="Q10" s="1">
        <v>2.1</v>
      </c>
    </row>
    <row r="11">
      <c r="A11" s="2">
        <v>45223.0</v>
      </c>
      <c r="B11" s="1">
        <v>200523.0</v>
      </c>
      <c r="C11" s="1">
        <v>30.0</v>
      </c>
      <c r="D11" s="1" t="s">
        <v>25</v>
      </c>
      <c r="E11" s="1" t="s">
        <v>21</v>
      </c>
      <c r="F11" s="1">
        <v>4.72</v>
      </c>
      <c r="G11" s="1">
        <v>87.6</v>
      </c>
      <c r="H11" s="1">
        <v>70.25</v>
      </c>
      <c r="I11" s="1">
        <v>1191.69</v>
      </c>
      <c r="J11" s="1">
        <v>36.85</v>
      </c>
      <c r="K11" s="1">
        <v>17293.9</v>
      </c>
      <c r="O11" s="3">
        <f t="shared" ref="O11:P11" si="10">(2*20)/F11</f>
        <v>8.474576271</v>
      </c>
      <c r="P11" s="3">
        <f t="shared" si="10"/>
        <v>0.4566210046</v>
      </c>
      <c r="Q11" s="1">
        <v>2.11</v>
      </c>
    </row>
    <row r="12">
      <c r="A12" s="2">
        <v>45153.0</v>
      </c>
      <c r="B12" s="1">
        <v>280523.0</v>
      </c>
      <c r="C12" s="1">
        <v>7.5</v>
      </c>
      <c r="D12" s="1" t="s">
        <v>26</v>
      </c>
      <c r="E12" s="1" t="s">
        <v>24</v>
      </c>
      <c r="F12" s="1">
        <v>0.0</v>
      </c>
      <c r="G12" s="1">
        <v>0.0</v>
      </c>
      <c r="H12" s="1">
        <v>62.05</v>
      </c>
      <c r="I12" s="1">
        <v>1357.47</v>
      </c>
      <c r="J12" s="1">
        <v>34.45</v>
      </c>
      <c r="K12" s="1">
        <v>15994.4</v>
      </c>
      <c r="O12" s="3" t="str">
        <f t="shared" ref="O12:P12" si="11">(2*20)/F12</f>
        <v>#DIV/0!</v>
      </c>
      <c r="P12" s="3" t="str">
        <f t="shared" si="11"/>
        <v>#DIV/0!</v>
      </c>
    </row>
    <row r="13">
      <c r="A13" s="2">
        <v>45160.0</v>
      </c>
      <c r="B13" s="1">
        <v>280523.0</v>
      </c>
      <c r="C13" s="1">
        <v>7.5</v>
      </c>
      <c r="D13" s="1" t="s">
        <v>26</v>
      </c>
      <c r="E13" s="1" t="s">
        <v>24</v>
      </c>
      <c r="F13" s="1">
        <v>27.0</v>
      </c>
      <c r="G13" s="1">
        <v>14.3</v>
      </c>
      <c r="H13" s="1">
        <v>63.69</v>
      </c>
      <c r="I13" s="1">
        <v>1373.49</v>
      </c>
      <c r="J13" s="1">
        <v>37.08</v>
      </c>
      <c r="K13" s="1">
        <v>15684.5</v>
      </c>
      <c r="O13" s="3">
        <f t="shared" ref="O13:P13" si="12">(2*20)/F13</f>
        <v>1.481481481</v>
      </c>
      <c r="P13" s="3">
        <f t="shared" si="12"/>
        <v>2.797202797</v>
      </c>
    </row>
    <row r="14">
      <c r="A14" s="4">
        <v>45168.0</v>
      </c>
      <c r="B14" s="1">
        <v>200523.0</v>
      </c>
      <c r="C14" s="1">
        <v>37.5</v>
      </c>
      <c r="D14" s="1" t="s">
        <v>25</v>
      </c>
      <c r="E14" s="1" t="s">
        <v>23</v>
      </c>
      <c r="F14" s="1">
        <v>2.32</v>
      </c>
      <c r="G14" s="1">
        <v>44.4</v>
      </c>
      <c r="H14" s="1">
        <v>74.08</v>
      </c>
      <c r="I14" s="1">
        <v>1381.9</v>
      </c>
      <c r="J14" s="1">
        <v>32.53</v>
      </c>
      <c r="K14" s="1">
        <v>15621.61</v>
      </c>
      <c r="O14" s="3">
        <f t="shared" ref="O14:P14" si="13">(2*20)/F14</f>
        <v>17.24137931</v>
      </c>
      <c r="P14" s="3">
        <f t="shared" si="13"/>
        <v>0.9009009009</v>
      </c>
      <c r="Q14" s="1">
        <v>1.9</v>
      </c>
    </row>
    <row r="15">
      <c r="A15" s="5">
        <v>45198.0</v>
      </c>
      <c r="B15" s="1">
        <v>200523.0</v>
      </c>
      <c r="C15" s="1">
        <v>7.5</v>
      </c>
      <c r="D15" s="1" t="s">
        <v>25</v>
      </c>
      <c r="E15" s="1" t="s">
        <v>24</v>
      </c>
      <c r="F15" s="1">
        <v>56.2</v>
      </c>
      <c r="G15" s="1">
        <v>252.0</v>
      </c>
      <c r="H15" s="1">
        <v>67.53</v>
      </c>
      <c r="I15" s="1">
        <v>1501.25</v>
      </c>
      <c r="J15" s="1">
        <v>34.5</v>
      </c>
      <c r="K15" s="1">
        <v>17885.8</v>
      </c>
      <c r="O15" s="3">
        <f t="shared" ref="O15:P15" si="14">(2*20)/F15</f>
        <v>0.7117437722</v>
      </c>
      <c r="P15" s="3">
        <f t="shared" si="14"/>
        <v>0.1587301587</v>
      </c>
      <c r="Q15" s="1">
        <v>1.9</v>
      </c>
    </row>
    <row r="16">
      <c r="A16" s="2">
        <v>45224.0</v>
      </c>
      <c r="B16" s="1">
        <v>220523.0</v>
      </c>
      <c r="C16" s="1">
        <v>0.0</v>
      </c>
      <c r="D16" s="1" t="s">
        <v>27</v>
      </c>
      <c r="E16" s="1" t="s">
        <v>18</v>
      </c>
      <c r="F16" s="1">
        <v>26.2</v>
      </c>
      <c r="G16" s="1">
        <v>36.4</v>
      </c>
      <c r="H16" s="1">
        <v>64.44</v>
      </c>
      <c r="I16" s="1">
        <v>1312.74</v>
      </c>
      <c r="J16" s="1">
        <v>39.76</v>
      </c>
      <c r="K16" s="1">
        <v>15080.83</v>
      </c>
      <c r="O16" s="3">
        <f t="shared" ref="O16:P16" si="15">(2*20)/F16</f>
        <v>1.526717557</v>
      </c>
      <c r="P16" s="3">
        <f t="shared" si="15"/>
        <v>1.098901099</v>
      </c>
      <c r="Q16" s="1">
        <v>1.99</v>
      </c>
    </row>
    <row r="17">
      <c r="A17" s="2">
        <v>45223.0</v>
      </c>
      <c r="B17" s="1">
        <v>220523.0</v>
      </c>
      <c r="C17" s="1">
        <v>15.0</v>
      </c>
      <c r="D17" s="1" t="s">
        <v>27</v>
      </c>
      <c r="E17" s="1" t="s">
        <v>19</v>
      </c>
      <c r="F17" s="1">
        <v>25.2</v>
      </c>
      <c r="G17" s="1">
        <v>107.6</v>
      </c>
      <c r="H17" s="1">
        <v>70.25</v>
      </c>
      <c r="I17" s="1">
        <v>1191.69</v>
      </c>
      <c r="J17" s="1">
        <v>36.85</v>
      </c>
      <c r="K17" s="1">
        <v>17293.9</v>
      </c>
      <c r="O17" s="3">
        <f t="shared" ref="O17:P17" si="16">(2*20)/F17</f>
        <v>1.587301587</v>
      </c>
      <c r="P17" s="3">
        <f t="shared" si="16"/>
        <v>0.3717472119</v>
      </c>
      <c r="Q17" s="1">
        <v>2.03</v>
      </c>
    </row>
    <row r="18">
      <c r="A18" s="6">
        <v>45194.0</v>
      </c>
      <c r="B18" s="1">
        <v>220523.0</v>
      </c>
      <c r="C18" s="1">
        <v>22.5</v>
      </c>
      <c r="D18" s="1" t="s">
        <v>27</v>
      </c>
      <c r="E18" s="1" t="s">
        <v>20</v>
      </c>
      <c r="F18" s="1">
        <v>11.8</v>
      </c>
      <c r="G18" s="1">
        <v>105.0</v>
      </c>
      <c r="H18" s="1">
        <v>65.09</v>
      </c>
      <c r="I18" s="1">
        <v>1426.96</v>
      </c>
      <c r="J18" s="1">
        <v>36.05</v>
      </c>
      <c r="K18" s="1">
        <v>17816.3</v>
      </c>
      <c r="O18" s="3">
        <f t="shared" ref="O18:P18" si="17">(2*20)/F18</f>
        <v>3.389830508</v>
      </c>
      <c r="P18" s="3">
        <f t="shared" si="17"/>
        <v>0.380952381</v>
      </c>
      <c r="Q18" s="1">
        <v>1.9</v>
      </c>
    </row>
    <row r="19" hidden="1">
      <c r="A19" s="2">
        <v>45153.0</v>
      </c>
      <c r="B19" s="1">
        <v>290523.0</v>
      </c>
      <c r="C19" s="1">
        <v>15.0</v>
      </c>
      <c r="D19" s="1" t="s">
        <v>28</v>
      </c>
      <c r="E19" s="1" t="s">
        <v>19</v>
      </c>
      <c r="F19" s="1">
        <v>0.0</v>
      </c>
      <c r="G19" s="1">
        <v>25.8</v>
      </c>
      <c r="H19" s="1">
        <v>62.05</v>
      </c>
      <c r="I19" s="1">
        <v>1357.47</v>
      </c>
      <c r="J19" s="1">
        <v>34.45</v>
      </c>
      <c r="K19" s="1">
        <v>15994.4</v>
      </c>
      <c r="O19" s="3" t="str">
        <f t="shared" ref="O19:P19" si="18">(2*20)/F19</f>
        <v>#DIV/0!</v>
      </c>
      <c r="P19" s="3">
        <f t="shared" si="18"/>
        <v>1.550387597</v>
      </c>
    </row>
    <row r="20">
      <c r="A20" s="5">
        <v>45188.0</v>
      </c>
      <c r="B20" s="1">
        <v>220523.0</v>
      </c>
      <c r="C20" s="1">
        <v>30.0</v>
      </c>
      <c r="D20" s="1" t="s">
        <v>27</v>
      </c>
      <c r="E20" s="1" t="s">
        <v>21</v>
      </c>
      <c r="F20" s="1">
        <v>0.608</v>
      </c>
      <c r="G20" s="1">
        <v>6.24</v>
      </c>
      <c r="H20" s="1">
        <v>63.47</v>
      </c>
      <c r="I20" s="1">
        <v>1344.78</v>
      </c>
      <c r="J20" s="1">
        <v>35.24</v>
      </c>
      <c r="K20" s="1">
        <v>16798.52</v>
      </c>
      <c r="O20" s="3">
        <f t="shared" ref="O20:P20" si="19">(2*20)/F20</f>
        <v>65.78947368</v>
      </c>
      <c r="P20" s="3">
        <f t="shared" si="19"/>
        <v>6.41025641</v>
      </c>
      <c r="Q20" s="1">
        <v>1.9</v>
      </c>
    </row>
    <row r="21">
      <c r="A21" s="2">
        <v>45224.0</v>
      </c>
      <c r="B21" s="1">
        <v>220523.0</v>
      </c>
      <c r="C21" s="1">
        <v>37.5</v>
      </c>
      <c r="D21" s="1" t="s">
        <v>27</v>
      </c>
      <c r="E21" s="1" t="s">
        <v>23</v>
      </c>
      <c r="F21" s="1">
        <v>0.0</v>
      </c>
      <c r="G21" s="1">
        <v>0.0</v>
      </c>
      <c r="H21" s="1">
        <v>64.44</v>
      </c>
      <c r="I21" s="1">
        <v>1312.74</v>
      </c>
      <c r="J21" s="1">
        <v>39.76</v>
      </c>
      <c r="K21" s="1">
        <v>15080.83</v>
      </c>
      <c r="O21" s="3" t="str">
        <f t="shared" ref="O21:P21" si="20">(2*20)/F21</f>
        <v>#DIV/0!</v>
      </c>
      <c r="P21" s="3" t="str">
        <f t="shared" si="20"/>
        <v>#DIV/0!</v>
      </c>
      <c r="Q21" s="1">
        <v>2.13</v>
      </c>
    </row>
    <row r="22">
      <c r="A22" s="7">
        <v>45181.0</v>
      </c>
      <c r="B22" s="1">
        <v>220523.0</v>
      </c>
      <c r="C22" s="1">
        <v>7.5</v>
      </c>
      <c r="D22" s="1" t="s">
        <v>27</v>
      </c>
      <c r="E22" s="1" t="s">
        <v>24</v>
      </c>
      <c r="F22" s="1">
        <v>51.4</v>
      </c>
      <c r="G22" s="1">
        <v>272.0</v>
      </c>
      <c r="H22" s="1">
        <v>65.37</v>
      </c>
      <c r="I22" s="1">
        <v>1424.89</v>
      </c>
      <c r="J22" s="1">
        <v>34.95</v>
      </c>
      <c r="K22" s="1">
        <v>15961.24</v>
      </c>
      <c r="O22" s="3">
        <f t="shared" ref="O22:P22" si="21">(2*20)/F22</f>
        <v>0.7782101167</v>
      </c>
      <c r="P22" s="3">
        <f t="shared" si="21"/>
        <v>0.1470588235</v>
      </c>
      <c r="Q22" s="1">
        <v>2.0</v>
      </c>
    </row>
    <row r="23">
      <c r="A23" s="4">
        <v>45160.0</v>
      </c>
      <c r="B23" s="1">
        <v>260523.0</v>
      </c>
      <c r="C23" s="1">
        <v>0.0</v>
      </c>
      <c r="D23" s="1" t="s">
        <v>29</v>
      </c>
      <c r="E23" s="1" t="s">
        <v>18</v>
      </c>
      <c r="F23" s="1">
        <v>69.2</v>
      </c>
      <c r="G23" s="1">
        <v>140.0</v>
      </c>
      <c r="H23" s="1">
        <v>63.69</v>
      </c>
      <c r="I23" s="1">
        <v>1373.49</v>
      </c>
      <c r="J23" s="1">
        <v>37.08</v>
      </c>
      <c r="K23" s="1">
        <v>15684.5</v>
      </c>
      <c r="L23" s="1">
        <v>35.09</v>
      </c>
      <c r="M23" s="1">
        <v>15575.35</v>
      </c>
      <c r="N23" s="1" t="s">
        <v>30</v>
      </c>
      <c r="O23" s="3">
        <f t="shared" ref="O23:P23" si="22">(2*20)/F23</f>
        <v>0.5780346821</v>
      </c>
      <c r="P23" s="3">
        <f t="shared" si="22"/>
        <v>0.2857142857</v>
      </c>
      <c r="Q23" s="1">
        <v>2.1</v>
      </c>
    </row>
    <row r="24">
      <c r="A24" s="6">
        <v>45198.0</v>
      </c>
      <c r="B24" s="1">
        <v>260523.0</v>
      </c>
      <c r="C24" s="1">
        <v>15.0</v>
      </c>
      <c r="D24" s="1" t="s">
        <v>29</v>
      </c>
      <c r="E24" s="1" t="s">
        <v>19</v>
      </c>
      <c r="F24" s="1">
        <v>7.58</v>
      </c>
      <c r="G24" s="1">
        <v>45.6</v>
      </c>
      <c r="H24" s="1">
        <v>67.53</v>
      </c>
      <c r="I24" s="1">
        <v>1501.25</v>
      </c>
      <c r="J24" s="1">
        <v>34.5</v>
      </c>
      <c r="K24" s="1">
        <v>17885.8</v>
      </c>
      <c r="O24" s="3">
        <f t="shared" ref="O24:P24" si="23">(2*20)/F24</f>
        <v>5.277044855</v>
      </c>
      <c r="P24" s="3">
        <f t="shared" si="23"/>
        <v>0.8771929825</v>
      </c>
      <c r="Q24" s="1">
        <v>2.0</v>
      </c>
    </row>
    <row r="25">
      <c r="A25" s="2">
        <v>45224.0</v>
      </c>
      <c r="B25" s="1">
        <v>260523.0</v>
      </c>
      <c r="C25" s="1">
        <v>22.5</v>
      </c>
      <c r="D25" s="1" t="s">
        <v>29</v>
      </c>
      <c r="E25" s="1" t="s">
        <v>20</v>
      </c>
      <c r="F25" s="1">
        <v>19.1</v>
      </c>
      <c r="G25" s="1">
        <v>137.6</v>
      </c>
      <c r="H25" s="1">
        <v>64.44</v>
      </c>
      <c r="I25" s="1">
        <v>1312.74</v>
      </c>
      <c r="J25" s="1">
        <v>39.76</v>
      </c>
      <c r="K25" s="1">
        <v>15080.83</v>
      </c>
      <c r="O25" s="3">
        <f t="shared" ref="O25:P25" si="24">(2*20)/F25</f>
        <v>2.094240838</v>
      </c>
      <c r="P25" s="3">
        <f t="shared" si="24"/>
        <v>0.2906976744</v>
      </c>
      <c r="Q25" s="1">
        <v>2.11</v>
      </c>
    </row>
    <row r="26" hidden="1">
      <c r="A26" s="5">
        <v>45196.0</v>
      </c>
      <c r="B26" s="1">
        <v>260523.0</v>
      </c>
      <c r="C26" s="1">
        <v>22.5</v>
      </c>
      <c r="D26" s="1" t="s">
        <v>29</v>
      </c>
      <c r="E26" s="1" t="s">
        <v>20</v>
      </c>
      <c r="F26" s="1">
        <v>0.0</v>
      </c>
      <c r="G26" s="1">
        <v>51.8</v>
      </c>
      <c r="H26" s="1">
        <v>63.09</v>
      </c>
      <c r="I26" s="1">
        <v>1050.1</v>
      </c>
      <c r="J26" s="1">
        <v>34.21</v>
      </c>
      <c r="K26" s="1">
        <v>16394.42</v>
      </c>
      <c r="O26" s="3" t="str">
        <f t="shared" ref="O26:P26" si="25">(2*20)/F26</f>
        <v>#DIV/0!</v>
      </c>
      <c r="P26" s="3">
        <f t="shared" si="25"/>
        <v>0.7722007722</v>
      </c>
    </row>
    <row r="27">
      <c r="A27" s="2">
        <v>45224.0</v>
      </c>
      <c r="B27" s="1">
        <v>260523.0</v>
      </c>
      <c r="C27" s="1">
        <v>30.0</v>
      </c>
      <c r="D27" s="1" t="s">
        <v>29</v>
      </c>
      <c r="E27" s="1" t="s">
        <v>21</v>
      </c>
      <c r="F27" s="1">
        <v>0.0</v>
      </c>
      <c r="G27" s="1">
        <v>61.4</v>
      </c>
      <c r="H27" s="1">
        <v>64.44</v>
      </c>
      <c r="I27" s="1">
        <v>1312.74</v>
      </c>
      <c r="J27" s="1">
        <v>39.76</v>
      </c>
      <c r="K27" s="1">
        <v>15080.83</v>
      </c>
      <c r="O27" s="3" t="str">
        <f t="shared" ref="O27:P27" si="26">(2*20)/F27</f>
        <v>#DIV/0!</v>
      </c>
      <c r="P27" s="3">
        <f t="shared" si="26"/>
        <v>0.651465798</v>
      </c>
      <c r="Q27" s="1">
        <v>2.09</v>
      </c>
    </row>
    <row r="28">
      <c r="A28" s="2">
        <v>45181.0</v>
      </c>
      <c r="B28" s="1">
        <v>260523.0</v>
      </c>
      <c r="C28" s="1">
        <v>37.5</v>
      </c>
      <c r="D28" s="1" t="s">
        <v>29</v>
      </c>
      <c r="E28" s="1" t="s">
        <v>23</v>
      </c>
      <c r="F28" s="1">
        <v>0.0</v>
      </c>
      <c r="G28" s="1">
        <v>0.0</v>
      </c>
      <c r="H28" s="1">
        <v>65.37</v>
      </c>
      <c r="I28" s="1">
        <v>1424.89</v>
      </c>
      <c r="J28" s="1">
        <v>34.95</v>
      </c>
      <c r="K28" s="1">
        <v>15961.24</v>
      </c>
      <c r="O28" s="3" t="str">
        <f t="shared" ref="O28:P28" si="27">(2*20)/F28</f>
        <v>#DIV/0!</v>
      </c>
      <c r="P28" s="3" t="str">
        <f t="shared" si="27"/>
        <v>#DIV/0!</v>
      </c>
      <c r="Q28" s="1">
        <v>2.0</v>
      </c>
    </row>
    <row r="29">
      <c r="A29" s="2">
        <v>45168.0</v>
      </c>
      <c r="B29" s="1">
        <v>260523.0</v>
      </c>
      <c r="C29" s="1">
        <v>60.0</v>
      </c>
      <c r="D29" s="1" t="s">
        <v>29</v>
      </c>
      <c r="E29" s="1" t="s">
        <v>31</v>
      </c>
      <c r="F29" s="1">
        <v>0.0</v>
      </c>
      <c r="G29" s="1">
        <v>0.0</v>
      </c>
      <c r="H29" s="1">
        <v>74.08</v>
      </c>
      <c r="I29" s="1">
        <v>1381.9</v>
      </c>
      <c r="J29" s="1">
        <v>32.53</v>
      </c>
      <c r="K29" s="1">
        <v>15621.61</v>
      </c>
      <c r="O29" s="3" t="str">
        <f t="shared" ref="O29:P29" si="28">(2*20)/F29</f>
        <v>#DIV/0!</v>
      </c>
      <c r="P29" s="3" t="str">
        <f t="shared" si="28"/>
        <v>#DIV/0!</v>
      </c>
      <c r="Q29" s="1">
        <v>1.9</v>
      </c>
    </row>
    <row r="30">
      <c r="A30" s="5">
        <v>45194.0</v>
      </c>
      <c r="B30" s="1">
        <v>260523.0</v>
      </c>
      <c r="C30" s="1">
        <v>7.5</v>
      </c>
      <c r="D30" s="1" t="s">
        <v>29</v>
      </c>
      <c r="E30" s="1" t="s">
        <v>24</v>
      </c>
      <c r="F30" s="1">
        <v>4.2</v>
      </c>
      <c r="G30" s="1">
        <v>11.24</v>
      </c>
      <c r="H30" s="1">
        <v>65.09</v>
      </c>
      <c r="I30" s="1">
        <v>1426.96</v>
      </c>
      <c r="J30" s="1">
        <v>36.05</v>
      </c>
      <c r="K30" s="1">
        <v>17816.3</v>
      </c>
      <c r="O30" s="3">
        <f t="shared" ref="O30:P30" si="29">(2*20)/F30</f>
        <v>9.523809524</v>
      </c>
      <c r="P30" s="3">
        <f t="shared" si="29"/>
        <v>3.558718861</v>
      </c>
      <c r="Q30" s="1">
        <v>2.1</v>
      </c>
    </row>
    <row r="31" hidden="1">
      <c r="A31" s="2">
        <v>45177.0</v>
      </c>
      <c r="B31" s="1">
        <v>200523.0</v>
      </c>
      <c r="C31" s="1">
        <v>30.0</v>
      </c>
      <c r="D31" s="1" t="s">
        <v>25</v>
      </c>
      <c r="E31" s="1" t="s">
        <v>21</v>
      </c>
      <c r="F31" s="1">
        <v>0.0</v>
      </c>
      <c r="G31" s="1">
        <v>0.0219</v>
      </c>
      <c r="H31" s="1">
        <v>65.55</v>
      </c>
      <c r="I31" s="1">
        <v>1333.35</v>
      </c>
      <c r="J31" s="1">
        <v>36.3</v>
      </c>
      <c r="K31" s="1">
        <v>19762.5</v>
      </c>
      <c r="O31" s="3" t="str">
        <f t="shared" ref="O31:P31" si="30">(2*20)/F31</f>
        <v>#DIV/0!</v>
      </c>
      <c r="P31" s="3">
        <f t="shared" si="30"/>
        <v>1826.484018</v>
      </c>
    </row>
    <row r="32">
      <c r="A32" s="5">
        <v>45188.0</v>
      </c>
      <c r="B32" s="1">
        <v>280523.0</v>
      </c>
      <c r="C32" s="1">
        <v>0.0</v>
      </c>
      <c r="D32" s="1" t="s">
        <v>26</v>
      </c>
      <c r="E32" s="1" t="s">
        <v>18</v>
      </c>
      <c r="F32" s="1">
        <v>96.8</v>
      </c>
      <c r="G32" s="1">
        <v>147.8</v>
      </c>
      <c r="H32" s="1">
        <v>63.47</v>
      </c>
      <c r="I32" s="1">
        <v>1344.78</v>
      </c>
      <c r="J32" s="1">
        <v>35.24</v>
      </c>
      <c r="K32" s="1">
        <v>16798.52</v>
      </c>
      <c r="O32" s="3">
        <f t="shared" ref="O32:P32" si="31">(2*20)/F32</f>
        <v>0.4132231405</v>
      </c>
      <c r="P32" s="3">
        <f t="shared" si="31"/>
        <v>0.2706359946</v>
      </c>
      <c r="Q32" s="1">
        <v>2.1</v>
      </c>
    </row>
    <row r="33">
      <c r="A33" s="5">
        <v>45196.0</v>
      </c>
      <c r="B33" s="1">
        <v>280523.0</v>
      </c>
      <c r="C33" s="1">
        <v>15.0</v>
      </c>
      <c r="D33" s="1" t="s">
        <v>26</v>
      </c>
      <c r="E33" s="1" t="s">
        <v>19</v>
      </c>
      <c r="F33" s="1">
        <v>35.8</v>
      </c>
      <c r="G33" s="1">
        <v>82.6</v>
      </c>
      <c r="H33" s="1">
        <v>63.09</v>
      </c>
      <c r="I33" s="1">
        <v>1050.1</v>
      </c>
      <c r="J33" s="1">
        <v>34.21</v>
      </c>
      <c r="K33" s="1">
        <v>16394.42</v>
      </c>
      <c r="O33" s="3">
        <f t="shared" ref="O33:P33" si="32">(2*20)/F33</f>
        <v>1.117318436</v>
      </c>
      <c r="P33" s="3">
        <f t="shared" si="32"/>
        <v>0.4842615012</v>
      </c>
      <c r="Q33" s="1">
        <v>1.9</v>
      </c>
    </row>
    <row r="34" hidden="1">
      <c r="A34" s="5">
        <v>45188.0</v>
      </c>
      <c r="B34" s="1">
        <v>260523.0</v>
      </c>
      <c r="C34" s="1">
        <v>30.0</v>
      </c>
      <c r="D34" s="1" t="s">
        <v>29</v>
      </c>
      <c r="E34" s="1" t="s">
        <v>21</v>
      </c>
      <c r="F34" s="1">
        <v>0.0</v>
      </c>
      <c r="G34" s="1">
        <v>24.6</v>
      </c>
      <c r="H34" s="1">
        <v>63.47</v>
      </c>
      <c r="I34" s="1">
        <v>1344.78</v>
      </c>
      <c r="J34" s="1">
        <v>35.24</v>
      </c>
      <c r="K34" s="1">
        <v>16798.52</v>
      </c>
      <c r="O34" s="3" t="str">
        <f t="shared" ref="O34:P34" si="33">(2*20)/F34</f>
        <v>#DIV/0!</v>
      </c>
      <c r="P34" s="3">
        <f t="shared" si="33"/>
        <v>1.62601626</v>
      </c>
    </row>
    <row r="35">
      <c r="A35" s="4">
        <v>45181.0</v>
      </c>
      <c r="B35" s="1">
        <v>280523.0</v>
      </c>
      <c r="C35" s="1">
        <v>22.5</v>
      </c>
      <c r="D35" s="1" t="s">
        <v>26</v>
      </c>
      <c r="E35" s="1" t="s">
        <v>20</v>
      </c>
      <c r="F35" s="1">
        <v>5.78</v>
      </c>
      <c r="G35" s="1">
        <v>48.4</v>
      </c>
      <c r="H35" s="1">
        <v>65.37</v>
      </c>
      <c r="I35" s="1">
        <v>1424.89</v>
      </c>
      <c r="J35" s="1">
        <v>34.95</v>
      </c>
      <c r="K35" s="1">
        <v>15961.24</v>
      </c>
      <c r="O35" s="3">
        <f t="shared" ref="O35:P35" si="34">(2*20)/F35</f>
        <v>6.920415225</v>
      </c>
      <c r="P35" s="3">
        <f t="shared" si="34"/>
        <v>0.826446281</v>
      </c>
      <c r="Q35" s="1">
        <v>2.0</v>
      </c>
    </row>
    <row r="36">
      <c r="A36" s="6">
        <v>45194.0</v>
      </c>
      <c r="B36" s="1">
        <v>280523.0</v>
      </c>
      <c r="C36" s="1">
        <v>30.0</v>
      </c>
      <c r="D36" s="1" t="s">
        <v>26</v>
      </c>
      <c r="E36" s="1" t="s">
        <v>21</v>
      </c>
      <c r="F36" s="1">
        <v>13.8</v>
      </c>
      <c r="G36" s="1">
        <v>97.2</v>
      </c>
      <c r="H36" s="1">
        <v>65.09</v>
      </c>
      <c r="I36" s="1">
        <v>1426.96</v>
      </c>
      <c r="J36" s="1">
        <v>36.05</v>
      </c>
      <c r="K36" s="1">
        <v>17816.3</v>
      </c>
      <c r="O36" s="3">
        <f t="shared" ref="O36:P36" si="35">(2*20)/F36</f>
        <v>2.898550725</v>
      </c>
      <c r="P36" s="3">
        <f t="shared" si="35"/>
        <v>0.4115226337</v>
      </c>
      <c r="Q36" s="1">
        <v>1.9</v>
      </c>
    </row>
    <row r="37" hidden="1">
      <c r="A37" s="5">
        <v>45194.0</v>
      </c>
      <c r="B37" s="1">
        <v>290523.0</v>
      </c>
      <c r="C37" s="1">
        <v>30.0</v>
      </c>
      <c r="D37" s="1" t="s">
        <v>28</v>
      </c>
      <c r="E37" s="1" t="s">
        <v>21</v>
      </c>
      <c r="F37" s="1">
        <v>0.0</v>
      </c>
      <c r="G37" s="1">
        <v>0.0656</v>
      </c>
      <c r="H37" s="1">
        <v>65.09</v>
      </c>
      <c r="I37" s="1">
        <v>1426.96</v>
      </c>
      <c r="J37" s="1">
        <v>36.05</v>
      </c>
      <c r="K37" s="1">
        <v>17816.3</v>
      </c>
      <c r="O37" s="3" t="str">
        <f t="shared" ref="O37:P37" si="36">(2*20)/F37</f>
        <v>#DIV/0!</v>
      </c>
      <c r="P37" s="3">
        <f t="shared" si="36"/>
        <v>609.7560976</v>
      </c>
    </row>
    <row r="38">
      <c r="A38" s="2">
        <v>45230.0</v>
      </c>
      <c r="B38" s="1">
        <v>280523.0</v>
      </c>
      <c r="C38" s="1">
        <v>37.5</v>
      </c>
      <c r="D38" s="1" t="s">
        <v>26</v>
      </c>
      <c r="E38" s="1" t="s">
        <v>23</v>
      </c>
      <c r="F38" s="1">
        <v>6.86</v>
      </c>
      <c r="G38" s="1">
        <v>31.8</v>
      </c>
      <c r="H38" s="1">
        <v>66.93</v>
      </c>
      <c r="I38" s="1">
        <v>1511.77</v>
      </c>
      <c r="J38" s="1">
        <v>37.59</v>
      </c>
      <c r="K38" s="1">
        <v>15915.54</v>
      </c>
      <c r="O38" s="3">
        <f t="shared" ref="O38:P38" si="37">(2*20)/F38</f>
        <v>5.83090379</v>
      </c>
      <c r="P38" s="3">
        <f t="shared" si="37"/>
        <v>1.257861635</v>
      </c>
      <c r="Q38" s="1">
        <v>2.12</v>
      </c>
    </row>
    <row r="39">
      <c r="A39" s="2">
        <v>45230.0</v>
      </c>
      <c r="B39" s="1">
        <v>280523.0</v>
      </c>
      <c r="C39" s="1">
        <v>7.5</v>
      </c>
      <c r="D39" s="1" t="s">
        <v>26</v>
      </c>
      <c r="E39" s="1" t="s">
        <v>24</v>
      </c>
      <c r="F39" s="1">
        <v>23.4</v>
      </c>
      <c r="G39" s="1">
        <v>76.4</v>
      </c>
      <c r="H39" s="1">
        <v>66.93</v>
      </c>
      <c r="I39" s="1">
        <v>1511.77</v>
      </c>
      <c r="J39" s="1">
        <v>37.59</v>
      </c>
      <c r="K39" s="1">
        <v>15915.54</v>
      </c>
      <c r="O39" s="3">
        <f t="shared" ref="O39:P39" si="38">(2*20)/F39</f>
        <v>1.709401709</v>
      </c>
      <c r="P39" s="3">
        <f t="shared" si="38"/>
        <v>0.5235602094</v>
      </c>
      <c r="Q39" s="1">
        <v>2.06</v>
      </c>
    </row>
    <row r="40" hidden="1">
      <c r="A40" s="2">
        <v>45153.0</v>
      </c>
      <c r="B40" s="1">
        <v>220523.0</v>
      </c>
      <c r="C40" s="1">
        <v>37.5</v>
      </c>
      <c r="D40" s="1" t="s">
        <v>27</v>
      </c>
      <c r="E40" s="1" t="s">
        <v>23</v>
      </c>
      <c r="F40" s="1">
        <v>0.0</v>
      </c>
      <c r="G40" s="1">
        <v>0.0</v>
      </c>
      <c r="H40" s="1">
        <v>62.05</v>
      </c>
      <c r="I40" s="1">
        <v>1357.47</v>
      </c>
      <c r="J40" s="1">
        <v>34.45</v>
      </c>
      <c r="K40" s="1">
        <v>15994.4</v>
      </c>
      <c r="O40" s="3" t="str">
        <f t="shared" ref="O40:P40" si="39">(2*20)/F40</f>
        <v>#DIV/0!</v>
      </c>
      <c r="P40" s="3" t="str">
        <f t="shared" si="39"/>
        <v>#DIV/0!</v>
      </c>
    </row>
    <row r="41" hidden="1">
      <c r="A41" s="2">
        <v>45160.0</v>
      </c>
      <c r="B41" s="1">
        <v>220523.0</v>
      </c>
      <c r="C41" s="1">
        <v>37.5</v>
      </c>
      <c r="D41" s="1" t="s">
        <v>27</v>
      </c>
      <c r="E41" s="1" t="s">
        <v>23</v>
      </c>
      <c r="F41" s="1">
        <v>0.0</v>
      </c>
      <c r="G41" s="1">
        <v>0.0</v>
      </c>
      <c r="H41" s="1">
        <v>63.69</v>
      </c>
      <c r="I41" s="1">
        <v>1373.49</v>
      </c>
      <c r="J41" s="1">
        <v>37.08</v>
      </c>
      <c r="K41" s="1">
        <v>15684.5</v>
      </c>
      <c r="O41" s="3" t="str">
        <f t="shared" ref="O41:P41" si="40">(2*20)/F41</f>
        <v>#DIV/0!</v>
      </c>
      <c r="P41" s="3" t="str">
        <f t="shared" si="40"/>
        <v>#DIV/0!</v>
      </c>
    </row>
    <row r="42">
      <c r="A42" s="2">
        <v>45168.0</v>
      </c>
      <c r="B42" s="1">
        <v>290523.0</v>
      </c>
      <c r="C42" s="1">
        <v>0.0</v>
      </c>
      <c r="D42" s="1" t="s">
        <v>28</v>
      </c>
      <c r="E42" s="1" t="s">
        <v>18</v>
      </c>
      <c r="F42" s="1">
        <v>65.4</v>
      </c>
      <c r="G42" s="1">
        <v>99.4</v>
      </c>
      <c r="H42" s="1">
        <v>74.08</v>
      </c>
      <c r="I42" s="1">
        <v>1381.9</v>
      </c>
      <c r="J42" s="1">
        <v>32.53</v>
      </c>
      <c r="K42" s="1">
        <v>15621.61</v>
      </c>
      <c r="O42" s="3">
        <f t="shared" ref="O42:P42" si="41">(2*20)/F42</f>
        <v>0.6116207951</v>
      </c>
      <c r="P42" s="3">
        <f t="shared" si="41"/>
        <v>0.4024144869</v>
      </c>
      <c r="Q42" s="1">
        <v>2.0</v>
      </c>
    </row>
    <row r="43" hidden="1">
      <c r="A43" s="2">
        <v>45153.0</v>
      </c>
      <c r="B43" s="1">
        <v>260523.0</v>
      </c>
      <c r="C43" s="1">
        <v>37.5</v>
      </c>
      <c r="D43" s="1" t="s">
        <v>29</v>
      </c>
      <c r="E43" s="1" t="s">
        <v>23</v>
      </c>
      <c r="F43" s="1">
        <v>0.0</v>
      </c>
      <c r="G43" s="1">
        <v>0.0</v>
      </c>
      <c r="H43" s="1">
        <v>62.05</v>
      </c>
      <c r="I43" s="1">
        <v>1357.47</v>
      </c>
      <c r="J43" s="1">
        <v>34.45</v>
      </c>
      <c r="K43" s="1">
        <v>15994.4</v>
      </c>
      <c r="O43" s="3" t="str">
        <f t="shared" ref="O43:P43" si="42">(2*20)/F43</f>
        <v>#DIV/0!</v>
      </c>
      <c r="P43" s="3" t="str">
        <f t="shared" si="42"/>
        <v>#DIV/0!</v>
      </c>
    </row>
    <row r="44">
      <c r="A44" s="4">
        <v>45160.0</v>
      </c>
      <c r="B44" s="1">
        <v>290523.0</v>
      </c>
      <c r="C44" s="1">
        <v>15.0</v>
      </c>
      <c r="D44" s="1" t="s">
        <v>28</v>
      </c>
      <c r="E44" s="1" t="s">
        <v>19</v>
      </c>
      <c r="F44" s="1">
        <v>9.12</v>
      </c>
      <c r="G44" s="1">
        <v>18.9</v>
      </c>
      <c r="H44" s="1">
        <v>63.69</v>
      </c>
      <c r="I44" s="1">
        <v>1373.49</v>
      </c>
      <c r="J44" s="1">
        <v>37.08</v>
      </c>
      <c r="K44" s="1">
        <v>15684.5</v>
      </c>
      <c r="O44" s="3">
        <f t="shared" ref="O44:P44" si="43">(2*20)/F44</f>
        <v>4.385964912</v>
      </c>
      <c r="P44" s="3">
        <f t="shared" si="43"/>
        <v>2.116402116</v>
      </c>
      <c r="Q44" s="1">
        <v>2.1</v>
      </c>
    </row>
    <row r="45" hidden="1">
      <c r="A45" s="2">
        <v>45177.0</v>
      </c>
      <c r="B45" s="1">
        <v>280523.0</v>
      </c>
      <c r="C45" s="1">
        <v>37.5</v>
      </c>
      <c r="D45" s="1" t="s">
        <v>26</v>
      </c>
      <c r="E45" s="1" t="s">
        <v>23</v>
      </c>
      <c r="F45" s="1">
        <v>0.0</v>
      </c>
      <c r="G45" s="8">
        <v>0.0076</v>
      </c>
      <c r="H45" s="1">
        <v>65.55</v>
      </c>
      <c r="I45" s="1">
        <v>1333.35</v>
      </c>
      <c r="J45" s="1">
        <v>36.3</v>
      </c>
      <c r="K45" s="1">
        <v>19762.5</v>
      </c>
      <c r="O45" s="3" t="str">
        <f t="shared" ref="O45:P45" si="44">(2*20)/F45</f>
        <v>#DIV/0!</v>
      </c>
      <c r="P45" s="9">
        <f t="shared" si="44"/>
        <v>5263.157895</v>
      </c>
    </row>
    <row r="46">
      <c r="A46" s="2">
        <v>45177.0</v>
      </c>
      <c r="B46" s="1">
        <v>290523.0</v>
      </c>
      <c r="C46" s="1">
        <v>22.5</v>
      </c>
      <c r="D46" s="1" t="s">
        <v>28</v>
      </c>
      <c r="E46" s="1" t="s">
        <v>20</v>
      </c>
      <c r="F46" s="1">
        <v>0.337</v>
      </c>
      <c r="G46" s="1">
        <v>0.758</v>
      </c>
      <c r="H46" s="1">
        <v>65.55</v>
      </c>
      <c r="I46" s="1">
        <v>1333.35</v>
      </c>
      <c r="J46" s="1">
        <v>36.3</v>
      </c>
      <c r="K46" s="1">
        <v>19762.5</v>
      </c>
      <c r="O46" s="3">
        <f t="shared" ref="O46:P46" si="45">(2*20)/F46</f>
        <v>118.694362</v>
      </c>
      <c r="P46" s="3">
        <f t="shared" si="45"/>
        <v>52.77044855</v>
      </c>
      <c r="Q46" s="1">
        <v>2.1</v>
      </c>
    </row>
    <row r="47">
      <c r="A47" s="2">
        <v>45223.0</v>
      </c>
      <c r="B47" s="1">
        <v>290523.0</v>
      </c>
      <c r="C47" s="1">
        <v>30.0</v>
      </c>
      <c r="D47" s="1" t="s">
        <v>28</v>
      </c>
      <c r="E47" s="1" t="s">
        <v>21</v>
      </c>
      <c r="F47" s="1">
        <v>0.0</v>
      </c>
      <c r="G47" s="1">
        <v>0.067</v>
      </c>
      <c r="H47" s="1">
        <v>70.25</v>
      </c>
      <c r="I47" s="1">
        <v>1191.69</v>
      </c>
      <c r="J47" s="1">
        <v>36.85</v>
      </c>
      <c r="K47" s="1">
        <v>17293.9</v>
      </c>
      <c r="O47" s="3" t="str">
        <f t="shared" ref="O47:P47" si="46">(2*20)/F47</f>
        <v>#DIV/0!</v>
      </c>
      <c r="P47" s="3">
        <f t="shared" si="46"/>
        <v>597.0149254</v>
      </c>
      <c r="Q47" s="1">
        <v>2.12</v>
      </c>
    </row>
    <row r="48">
      <c r="A48" s="6">
        <v>45196.0</v>
      </c>
      <c r="B48" s="1">
        <v>290523.0</v>
      </c>
      <c r="C48" s="1">
        <v>7.5</v>
      </c>
      <c r="D48" s="1" t="s">
        <v>28</v>
      </c>
      <c r="E48" s="1" t="s">
        <v>24</v>
      </c>
      <c r="F48" s="1">
        <v>49.4</v>
      </c>
      <c r="G48" s="1">
        <v>200.0</v>
      </c>
      <c r="H48" s="1">
        <v>63.09</v>
      </c>
      <c r="I48" s="1">
        <v>1050.1</v>
      </c>
      <c r="J48" s="1">
        <v>34.21</v>
      </c>
      <c r="K48" s="1">
        <v>16394.42</v>
      </c>
      <c r="O48" s="3">
        <f t="shared" ref="O48:P48" si="47">(2*20)/F48</f>
        <v>0.8097165992</v>
      </c>
      <c r="P48" s="3">
        <f t="shared" si="47"/>
        <v>0.2</v>
      </c>
      <c r="Q48" s="1">
        <v>2.1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14</v>
      </c>
      <c r="J1" s="1" t="s">
        <v>15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</row>
    <row r="2">
      <c r="A2" s="4">
        <v>45160.0</v>
      </c>
      <c r="B2" s="1">
        <v>260523.0</v>
      </c>
      <c r="C2" s="1">
        <v>0.0</v>
      </c>
      <c r="D2" s="1" t="s">
        <v>29</v>
      </c>
      <c r="E2" s="1" t="s">
        <v>18</v>
      </c>
      <c r="F2" s="1">
        <v>34.6</v>
      </c>
      <c r="G2" s="1">
        <v>35.0</v>
      </c>
      <c r="H2" s="1">
        <v>2.1</v>
      </c>
      <c r="I2" s="3">
        <f t="shared" ref="I2:I30" si="1">(20*2)/F2</f>
        <v>1.156069364</v>
      </c>
      <c r="J2" s="1">
        <f t="shared" ref="J2:J30" si="2">(2*20)/G2</f>
        <v>1.142857143</v>
      </c>
      <c r="K2" s="10" t="s">
        <v>41</v>
      </c>
      <c r="L2" s="1" t="s">
        <v>42</v>
      </c>
      <c r="M2" s="1" t="s">
        <v>43</v>
      </c>
      <c r="N2" s="1" t="s">
        <v>44</v>
      </c>
      <c r="O2" s="1" t="s">
        <v>45</v>
      </c>
      <c r="Q2" s="1">
        <v>3.7</v>
      </c>
      <c r="R2" s="1">
        <v>1.0</v>
      </c>
      <c r="S2" s="1">
        <f t="shared" ref="S2:S33" si="3">Q2*R2</f>
        <v>3.7</v>
      </c>
    </row>
    <row r="3">
      <c r="A3" s="4">
        <v>45160.0</v>
      </c>
      <c r="B3" s="1">
        <v>290523.0</v>
      </c>
      <c r="C3" s="1">
        <v>15.0</v>
      </c>
      <c r="D3" s="1" t="s">
        <v>28</v>
      </c>
      <c r="E3" s="1" t="s">
        <v>19</v>
      </c>
      <c r="F3" s="1">
        <v>9.12</v>
      </c>
      <c r="G3" s="1">
        <v>18.9</v>
      </c>
      <c r="H3" s="1">
        <v>2.1</v>
      </c>
      <c r="I3" s="3">
        <f t="shared" si="1"/>
        <v>4.385964912</v>
      </c>
      <c r="J3" s="1">
        <f t="shared" si="2"/>
        <v>2.116402116</v>
      </c>
      <c r="K3" s="1" t="s">
        <v>46</v>
      </c>
      <c r="L3" s="1" t="s">
        <v>47</v>
      </c>
      <c r="M3" s="1" t="s">
        <v>48</v>
      </c>
      <c r="Q3" s="1">
        <v>0.494</v>
      </c>
      <c r="R3" s="1">
        <v>3.0</v>
      </c>
      <c r="S3" s="1">
        <f t="shared" si="3"/>
        <v>1.482</v>
      </c>
    </row>
    <row r="4">
      <c r="A4" s="2">
        <v>45168.0</v>
      </c>
      <c r="B4" s="1">
        <v>290523.0</v>
      </c>
      <c r="C4" s="1">
        <v>0.0</v>
      </c>
      <c r="D4" s="1" t="s">
        <v>28</v>
      </c>
      <c r="E4" s="1" t="s">
        <v>18</v>
      </c>
      <c r="F4" s="1">
        <v>32.7</v>
      </c>
      <c r="G4" s="1">
        <v>31.13</v>
      </c>
      <c r="H4" s="1">
        <v>2.0</v>
      </c>
      <c r="I4" s="3">
        <f t="shared" si="1"/>
        <v>1.22324159</v>
      </c>
      <c r="J4" s="1">
        <f t="shared" si="2"/>
        <v>1.284934147</v>
      </c>
      <c r="K4" s="1" t="s">
        <v>49</v>
      </c>
      <c r="L4" s="1" t="s">
        <v>50</v>
      </c>
      <c r="M4" s="1" t="s">
        <v>51</v>
      </c>
      <c r="N4" s="1" t="s">
        <v>44</v>
      </c>
      <c r="O4" s="1" t="s">
        <v>52</v>
      </c>
      <c r="Q4" s="1">
        <v>2.2</v>
      </c>
      <c r="R4" s="1">
        <v>1.0</v>
      </c>
      <c r="S4" s="1">
        <f t="shared" si="3"/>
        <v>2.2</v>
      </c>
    </row>
    <row r="5">
      <c r="A5" s="4">
        <v>45168.0</v>
      </c>
      <c r="B5" s="1">
        <v>80523.0</v>
      </c>
      <c r="C5" s="1">
        <v>22.5</v>
      </c>
      <c r="D5" s="1" t="s">
        <v>17</v>
      </c>
      <c r="E5" s="1" t="s">
        <v>20</v>
      </c>
      <c r="F5" s="1">
        <v>26.3</v>
      </c>
      <c r="G5" s="1">
        <v>41.429</v>
      </c>
      <c r="H5" s="1">
        <v>2.0</v>
      </c>
      <c r="I5" s="3">
        <f t="shared" si="1"/>
        <v>1.520912548</v>
      </c>
      <c r="J5" s="1">
        <f t="shared" si="2"/>
        <v>0.9655072534</v>
      </c>
      <c r="K5" s="1" t="s">
        <v>53</v>
      </c>
      <c r="L5" s="1" t="s">
        <v>54</v>
      </c>
      <c r="M5" s="1" t="s">
        <v>55</v>
      </c>
      <c r="N5" s="1" t="s">
        <v>44</v>
      </c>
      <c r="O5" s="1" t="s">
        <v>56</v>
      </c>
      <c r="Q5" s="1">
        <v>2.12</v>
      </c>
      <c r="R5" s="1">
        <v>1.0</v>
      </c>
      <c r="S5" s="1">
        <f t="shared" si="3"/>
        <v>2.12</v>
      </c>
    </row>
    <row r="6">
      <c r="A6" s="4">
        <v>45168.0</v>
      </c>
      <c r="B6" s="1">
        <v>200523.0</v>
      </c>
      <c r="C6" s="1">
        <v>37.5</v>
      </c>
      <c r="D6" s="1" t="s">
        <v>25</v>
      </c>
      <c r="E6" s="1" t="s">
        <v>23</v>
      </c>
      <c r="F6" s="1">
        <v>2.32</v>
      </c>
      <c r="G6" s="1">
        <v>44.4</v>
      </c>
      <c r="H6" s="1">
        <v>1.9</v>
      </c>
      <c r="I6" s="3">
        <f t="shared" si="1"/>
        <v>17.24137931</v>
      </c>
      <c r="J6" s="1">
        <f t="shared" si="2"/>
        <v>0.9009009009</v>
      </c>
      <c r="K6" s="1" t="s">
        <v>41</v>
      </c>
      <c r="L6" s="1" t="s">
        <v>57</v>
      </c>
      <c r="M6" s="1" t="s">
        <v>58</v>
      </c>
      <c r="Q6" s="1">
        <v>1.668</v>
      </c>
      <c r="R6" s="1">
        <v>1.0</v>
      </c>
      <c r="S6" s="1">
        <f t="shared" si="3"/>
        <v>1.668</v>
      </c>
    </row>
    <row r="7">
      <c r="A7" s="2">
        <v>45177.0</v>
      </c>
      <c r="B7" s="1">
        <v>80523.0</v>
      </c>
      <c r="C7" s="1">
        <v>0.0</v>
      </c>
      <c r="D7" s="1" t="s">
        <v>17</v>
      </c>
      <c r="E7" s="1" t="s">
        <v>18</v>
      </c>
      <c r="F7" s="1">
        <v>38.0</v>
      </c>
      <c r="G7" s="1">
        <v>36.0</v>
      </c>
      <c r="H7" s="1">
        <v>1.9</v>
      </c>
      <c r="I7" s="3">
        <f t="shared" si="1"/>
        <v>1.052631579</v>
      </c>
      <c r="J7" s="1">
        <f t="shared" si="2"/>
        <v>1.111111111</v>
      </c>
      <c r="K7" s="1" t="s">
        <v>53</v>
      </c>
      <c r="L7" s="1" t="s">
        <v>59</v>
      </c>
      <c r="M7" s="1" t="s">
        <v>60</v>
      </c>
      <c r="N7" s="1" t="s">
        <v>52</v>
      </c>
      <c r="O7" s="1" t="s">
        <v>52</v>
      </c>
      <c r="Q7" s="1">
        <v>1.672</v>
      </c>
      <c r="R7" s="1">
        <v>1.0</v>
      </c>
      <c r="S7" s="1">
        <f t="shared" si="3"/>
        <v>1.672</v>
      </c>
    </row>
    <row r="8">
      <c r="A8" s="7">
        <v>45181.0</v>
      </c>
      <c r="B8" s="1">
        <v>220523.0</v>
      </c>
      <c r="C8" s="1">
        <v>7.5</v>
      </c>
      <c r="D8" s="1" t="s">
        <v>27</v>
      </c>
      <c r="E8" s="1" t="s">
        <v>24</v>
      </c>
      <c r="F8" s="1">
        <v>38.55</v>
      </c>
      <c r="G8" s="1">
        <v>45.33</v>
      </c>
      <c r="H8" s="1">
        <v>2.0</v>
      </c>
      <c r="I8" s="3">
        <f t="shared" si="1"/>
        <v>1.037613489</v>
      </c>
      <c r="J8" s="1">
        <f t="shared" si="2"/>
        <v>0.8824178248</v>
      </c>
      <c r="K8" s="1" t="s">
        <v>46</v>
      </c>
      <c r="L8" s="1" t="s">
        <v>61</v>
      </c>
      <c r="M8" s="1" t="s">
        <v>62</v>
      </c>
      <c r="N8" s="1" t="s">
        <v>63</v>
      </c>
      <c r="O8" s="1" t="s">
        <v>64</v>
      </c>
      <c r="Q8" s="1">
        <v>1.512</v>
      </c>
      <c r="R8" s="1">
        <v>1.0</v>
      </c>
      <c r="S8" s="1">
        <f t="shared" si="3"/>
        <v>1.512</v>
      </c>
    </row>
    <row r="9">
      <c r="A9" s="4">
        <v>45181.0</v>
      </c>
      <c r="B9" s="1">
        <v>280523.0</v>
      </c>
      <c r="C9" s="1">
        <v>22.5</v>
      </c>
      <c r="D9" s="1" t="s">
        <v>26</v>
      </c>
      <c r="E9" s="1" t="s">
        <v>20</v>
      </c>
      <c r="F9" s="1">
        <v>5.78</v>
      </c>
      <c r="G9" s="1">
        <v>48.4</v>
      </c>
      <c r="H9" s="1">
        <v>2.0</v>
      </c>
      <c r="I9" s="3">
        <f t="shared" si="1"/>
        <v>6.920415225</v>
      </c>
      <c r="J9" s="1">
        <f t="shared" si="2"/>
        <v>0.826446281</v>
      </c>
      <c r="K9" s="1" t="s">
        <v>53</v>
      </c>
      <c r="L9" s="1" t="s">
        <v>65</v>
      </c>
      <c r="M9" s="1" t="s">
        <v>66</v>
      </c>
      <c r="Q9" s="1">
        <v>0.296</v>
      </c>
      <c r="R9" s="1">
        <v>5.0</v>
      </c>
      <c r="S9" s="1">
        <f t="shared" si="3"/>
        <v>1.48</v>
      </c>
    </row>
    <row r="10">
      <c r="A10" s="4">
        <v>45181.0</v>
      </c>
      <c r="B10" s="1">
        <v>80523.0</v>
      </c>
      <c r="C10" s="1">
        <v>30.0</v>
      </c>
      <c r="D10" s="1" t="s">
        <v>17</v>
      </c>
      <c r="E10" s="1" t="s">
        <v>21</v>
      </c>
      <c r="F10" s="1">
        <v>15.2</v>
      </c>
      <c r="G10" s="1">
        <v>8.14</v>
      </c>
      <c r="H10" s="1">
        <v>2.2</v>
      </c>
      <c r="I10" s="3">
        <f t="shared" si="1"/>
        <v>2.631578947</v>
      </c>
      <c r="J10" s="1">
        <f t="shared" si="2"/>
        <v>4.914004914</v>
      </c>
      <c r="K10" s="1" t="s">
        <v>49</v>
      </c>
      <c r="L10" s="1" t="s">
        <v>67</v>
      </c>
      <c r="M10" s="1" t="s">
        <v>68</v>
      </c>
      <c r="Q10" s="1">
        <v>1.034</v>
      </c>
      <c r="R10" s="1">
        <v>1.0</v>
      </c>
      <c r="S10" s="1">
        <f t="shared" si="3"/>
        <v>1.034</v>
      </c>
    </row>
    <row r="11">
      <c r="A11" s="5">
        <v>45188.0</v>
      </c>
      <c r="B11" s="1">
        <v>280523.0</v>
      </c>
      <c r="C11" s="1">
        <v>0.0</v>
      </c>
      <c r="D11" s="1" t="s">
        <v>26</v>
      </c>
      <c r="E11" s="1" t="s">
        <v>18</v>
      </c>
      <c r="F11" s="1">
        <v>32.2666</v>
      </c>
      <c r="G11" s="1">
        <v>36.95</v>
      </c>
      <c r="H11" s="1">
        <v>2.1</v>
      </c>
      <c r="I11" s="3">
        <f t="shared" si="1"/>
        <v>1.239671983</v>
      </c>
      <c r="J11" s="1">
        <f t="shared" si="2"/>
        <v>1.082543978</v>
      </c>
      <c r="K11" s="1" t="s">
        <v>49</v>
      </c>
      <c r="L11" s="1" t="s">
        <v>69</v>
      </c>
      <c r="M11" s="1" t="s">
        <v>70</v>
      </c>
      <c r="N11" s="1" t="s">
        <v>44</v>
      </c>
      <c r="O11" s="1" t="s">
        <v>45</v>
      </c>
      <c r="Q11" s="1">
        <v>2.24</v>
      </c>
      <c r="R11" s="1">
        <v>1.0</v>
      </c>
      <c r="S11" s="1">
        <f t="shared" si="3"/>
        <v>2.24</v>
      </c>
    </row>
    <row r="12">
      <c r="A12" s="6">
        <v>45188.0</v>
      </c>
      <c r="B12" s="1">
        <v>200523.0</v>
      </c>
      <c r="C12" s="1">
        <v>22.5</v>
      </c>
      <c r="D12" s="1" t="s">
        <v>25</v>
      </c>
      <c r="E12" s="1" t="s">
        <v>20</v>
      </c>
      <c r="F12" s="1">
        <v>28.2</v>
      </c>
      <c r="G12" s="1">
        <v>37.333</v>
      </c>
      <c r="H12" s="1">
        <v>2.1</v>
      </c>
      <c r="I12" s="3">
        <f t="shared" si="1"/>
        <v>1.418439716</v>
      </c>
      <c r="J12" s="1">
        <f t="shared" si="2"/>
        <v>1.071438138</v>
      </c>
      <c r="K12" s="1" t="s">
        <v>46</v>
      </c>
      <c r="L12" s="1" t="s">
        <v>71</v>
      </c>
      <c r="M12" s="1" t="s">
        <v>72</v>
      </c>
      <c r="O12" s="1" t="s">
        <v>64</v>
      </c>
      <c r="Q12" s="1">
        <v>0.966</v>
      </c>
      <c r="R12" s="1">
        <v>1.0</v>
      </c>
      <c r="S12" s="1">
        <f t="shared" si="3"/>
        <v>0.966</v>
      </c>
    </row>
    <row r="13">
      <c r="A13" s="5">
        <v>45194.0</v>
      </c>
      <c r="B13" s="1">
        <v>260523.0</v>
      </c>
      <c r="C13" s="1">
        <v>7.5</v>
      </c>
      <c r="D13" s="1" t="s">
        <v>29</v>
      </c>
      <c r="E13" s="1" t="s">
        <v>24</v>
      </c>
      <c r="F13" s="1">
        <v>4.2</v>
      </c>
      <c r="G13" s="1">
        <v>11.24</v>
      </c>
      <c r="H13" s="1">
        <v>2.1</v>
      </c>
      <c r="I13" s="3">
        <f t="shared" si="1"/>
        <v>9.523809524</v>
      </c>
      <c r="J13" s="1">
        <f t="shared" si="2"/>
        <v>3.558718861</v>
      </c>
      <c r="K13" s="1" t="s">
        <v>49</v>
      </c>
      <c r="L13" s="1" t="s">
        <v>73</v>
      </c>
      <c r="M13" s="1" t="s">
        <v>74</v>
      </c>
      <c r="Q13" s="1">
        <v>0.146</v>
      </c>
      <c r="R13" s="1">
        <v>7.0</v>
      </c>
      <c r="S13" s="1">
        <f t="shared" si="3"/>
        <v>1.022</v>
      </c>
      <c r="T13" s="1" t="s">
        <v>75</v>
      </c>
    </row>
    <row r="14">
      <c r="A14" s="6">
        <v>45194.0</v>
      </c>
      <c r="B14" s="1">
        <v>220523.0</v>
      </c>
      <c r="C14" s="1">
        <v>22.5</v>
      </c>
      <c r="D14" s="1" t="s">
        <v>27</v>
      </c>
      <c r="E14" s="1" t="s">
        <v>20</v>
      </c>
      <c r="F14" s="1">
        <v>11.8</v>
      </c>
      <c r="G14" s="1">
        <v>35.0</v>
      </c>
      <c r="H14" s="1">
        <v>1.9</v>
      </c>
      <c r="I14" s="3">
        <f t="shared" si="1"/>
        <v>3.389830508</v>
      </c>
      <c r="J14" s="1">
        <f t="shared" si="2"/>
        <v>1.142857143</v>
      </c>
      <c r="K14" s="1" t="s">
        <v>41</v>
      </c>
      <c r="L14" s="1" t="s">
        <v>76</v>
      </c>
      <c r="M14" s="1" t="s">
        <v>77</v>
      </c>
      <c r="O14" s="1" t="s">
        <v>52</v>
      </c>
      <c r="Q14" s="1">
        <v>0.77</v>
      </c>
      <c r="R14" s="1">
        <v>2.0</v>
      </c>
      <c r="S14" s="1">
        <f t="shared" si="3"/>
        <v>1.54</v>
      </c>
    </row>
    <row r="15">
      <c r="A15" s="6">
        <v>45194.0</v>
      </c>
      <c r="B15" s="1">
        <v>280523.0</v>
      </c>
      <c r="C15" s="1">
        <v>30.0</v>
      </c>
      <c r="D15" s="1" t="s">
        <v>26</v>
      </c>
      <c r="E15" s="1" t="s">
        <v>21</v>
      </c>
      <c r="F15" s="1">
        <v>13.8</v>
      </c>
      <c r="G15" s="1">
        <v>32.4</v>
      </c>
      <c r="H15" s="1">
        <v>1.9</v>
      </c>
      <c r="I15" s="3">
        <f t="shared" si="1"/>
        <v>2.898550725</v>
      </c>
      <c r="J15" s="1">
        <f t="shared" si="2"/>
        <v>1.234567901</v>
      </c>
      <c r="K15" s="1" t="s">
        <v>46</v>
      </c>
      <c r="L15" s="1" t="s">
        <v>78</v>
      </c>
      <c r="M15" s="1" t="s">
        <v>79</v>
      </c>
      <c r="O15" s="1" t="s">
        <v>52</v>
      </c>
      <c r="Q15" s="1">
        <v>0.6</v>
      </c>
      <c r="R15" s="1">
        <v>3.0</v>
      </c>
      <c r="S15" s="1">
        <f t="shared" si="3"/>
        <v>1.8</v>
      </c>
    </row>
    <row r="16">
      <c r="A16" s="6">
        <v>45196.0</v>
      </c>
      <c r="B16" s="1">
        <v>290523.0</v>
      </c>
      <c r="C16" s="1">
        <v>7.5</v>
      </c>
      <c r="D16" s="1" t="s">
        <v>28</v>
      </c>
      <c r="E16" s="1" t="s">
        <v>24</v>
      </c>
      <c r="F16" s="1">
        <v>37.05</v>
      </c>
      <c r="G16" s="1">
        <v>33.333</v>
      </c>
      <c r="H16" s="1">
        <v>2.1</v>
      </c>
      <c r="I16" s="3">
        <f t="shared" si="1"/>
        <v>1.079622132</v>
      </c>
      <c r="J16" s="1">
        <f t="shared" si="2"/>
        <v>1.200012</v>
      </c>
      <c r="K16" s="1" t="s">
        <v>49</v>
      </c>
      <c r="L16" s="1" t="s">
        <v>80</v>
      </c>
      <c r="M16" s="1" t="s">
        <v>81</v>
      </c>
      <c r="N16" s="1" t="s">
        <v>63</v>
      </c>
      <c r="O16" s="1" t="s">
        <v>64</v>
      </c>
      <c r="Q16" s="1">
        <v>0.586</v>
      </c>
      <c r="R16" s="1">
        <v>3.0</v>
      </c>
      <c r="S16" s="1">
        <f t="shared" si="3"/>
        <v>1.758</v>
      </c>
    </row>
    <row r="17">
      <c r="A17" s="5">
        <v>45196.0</v>
      </c>
      <c r="B17" s="1">
        <v>200523.0</v>
      </c>
      <c r="C17" s="1">
        <v>15.0</v>
      </c>
      <c r="D17" s="1" t="s">
        <v>25</v>
      </c>
      <c r="E17" s="1" t="s">
        <v>19</v>
      </c>
      <c r="F17" s="1">
        <v>34.5</v>
      </c>
      <c r="G17" s="1">
        <v>38.5</v>
      </c>
      <c r="H17" s="1">
        <v>2.0</v>
      </c>
      <c r="I17" s="3">
        <f t="shared" si="1"/>
        <v>1.15942029</v>
      </c>
      <c r="J17" s="1">
        <f t="shared" si="2"/>
        <v>1.038961039</v>
      </c>
      <c r="K17" s="1" t="s">
        <v>53</v>
      </c>
      <c r="L17" s="1" t="s">
        <v>82</v>
      </c>
      <c r="M17" s="1" t="s">
        <v>83</v>
      </c>
      <c r="N17" s="1" t="s">
        <v>44</v>
      </c>
      <c r="O17" s="1" t="s">
        <v>84</v>
      </c>
      <c r="Q17" s="1">
        <v>0.594</v>
      </c>
      <c r="R17" s="1">
        <v>3.0</v>
      </c>
      <c r="S17" s="1">
        <f t="shared" si="3"/>
        <v>1.782</v>
      </c>
    </row>
    <row r="18">
      <c r="A18" s="5">
        <v>45196.0</v>
      </c>
      <c r="B18" s="1">
        <v>280523.0</v>
      </c>
      <c r="C18" s="1">
        <v>15.0</v>
      </c>
      <c r="D18" s="1" t="s">
        <v>26</v>
      </c>
      <c r="E18" s="1" t="s">
        <v>19</v>
      </c>
      <c r="F18" s="1">
        <v>35.8</v>
      </c>
      <c r="G18" s="1">
        <v>41.3</v>
      </c>
      <c r="H18" s="1">
        <v>1.9</v>
      </c>
      <c r="I18" s="3">
        <f t="shared" si="1"/>
        <v>1.117318436</v>
      </c>
      <c r="J18" s="1">
        <f t="shared" si="2"/>
        <v>0.9685230024</v>
      </c>
      <c r="K18" s="1" t="s">
        <v>46</v>
      </c>
      <c r="L18" s="1" t="s">
        <v>85</v>
      </c>
      <c r="M18" s="1" t="s">
        <v>86</v>
      </c>
      <c r="O18" s="1" t="s">
        <v>44</v>
      </c>
      <c r="Q18" s="1">
        <v>0.518</v>
      </c>
      <c r="R18" s="1">
        <v>3.0</v>
      </c>
      <c r="S18" s="1">
        <f t="shared" si="3"/>
        <v>1.554</v>
      </c>
    </row>
    <row r="19">
      <c r="A19" s="5">
        <v>45198.0</v>
      </c>
      <c r="B19" s="1">
        <v>80523.0</v>
      </c>
      <c r="C19" s="1">
        <v>7.5</v>
      </c>
      <c r="D19" s="1" t="s">
        <v>17</v>
      </c>
      <c r="E19" s="1" t="s">
        <v>24</v>
      </c>
      <c r="F19" s="1">
        <v>36.3</v>
      </c>
      <c r="G19" s="1">
        <v>39.0</v>
      </c>
      <c r="H19" s="1">
        <v>1.9</v>
      </c>
      <c r="I19" s="3">
        <f t="shared" si="1"/>
        <v>1.101928375</v>
      </c>
      <c r="J19" s="1">
        <f t="shared" si="2"/>
        <v>1.025641026</v>
      </c>
      <c r="K19" s="1" t="s">
        <v>41</v>
      </c>
      <c r="L19" s="1" t="s">
        <v>87</v>
      </c>
      <c r="M19" s="1" t="s">
        <v>88</v>
      </c>
      <c r="N19" s="1" t="s">
        <v>63</v>
      </c>
      <c r="O19" s="1" t="s">
        <v>44</v>
      </c>
      <c r="Q19" s="1">
        <v>0.396</v>
      </c>
      <c r="R19" s="1">
        <v>3.0</v>
      </c>
      <c r="S19" s="1">
        <f t="shared" si="3"/>
        <v>1.188</v>
      </c>
    </row>
    <row r="20">
      <c r="A20" s="5">
        <v>45198.0</v>
      </c>
      <c r="B20" s="1">
        <v>200523.0</v>
      </c>
      <c r="C20" s="1">
        <v>7.5</v>
      </c>
      <c r="D20" s="1" t="s">
        <v>25</v>
      </c>
      <c r="E20" s="1" t="s">
        <v>24</v>
      </c>
      <c r="F20" s="1">
        <v>28.1</v>
      </c>
      <c r="G20" s="1">
        <v>42.0</v>
      </c>
      <c r="H20" s="1">
        <v>1.9</v>
      </c>
      <c r="I20" s="3">
        <f t="shared" si="1"/>
        <v>1.423487544</v>
      </c>
      <c r="J20" s="1">
        <f t="shared" si="2"/>
        <v>0.9523809524</v>
      </c>
      <c r="K20" s="1" t="s">
        <v>46</v>
      </c>
      <c r="L20" s="1" t="s">
        <v>89</v>
      </c>
      <c r="M20" s="1" t="s">
        <v>90</v>
      </c>
      <c r="N20" s="1" t="s">
        <v>44</v>
      </c>
      <c r="O20" s="1" t="s">
        <v>64</v>
      </c>
      <c r="Q20" s="1">
        <v>0.726</v>
      </c>
      <c r="R20" s="1">
        <v>2.0</v>
      </c>
      <c r="S20" s="1">
        <f t="shared" si="3"/>
        <v>1.452</v>
      </c>
    </row>
    <row r="21">
      <c r="A21" s="6">
        <v>45198.0</v>
      </c>
      <c r="B21" s="1">
        <v>260523.0</v>
      </c>
      <c r="C21" s="1">
        <v>15.0</v>
      </c>
      <c r="D21" s="1" t="s">
        <v>29</v>
      </c>
      <c r="E21" s="1" t="s">
        <v>19</v>
      </c>
      <c r="F21" s="1">
        <v>7.58</v>
      </c>
      <c r="G21" s="1">
        <v>45.6</v>
      </c>
      <c r="H21" s="1">
        <v>2.0</v>
      </c>
      <c r="I21" s="3">
        <f t="shared" si="1"/>
        <v>5.277044855</v>
      </c>
      <c r="J21" s="1">
        <f t="shared" si="2"/>
        <v>0.8771929825</v>
      </c>
      <c r="K21" s="1" t="s">
        <v>49</v>
      </c>
      <c r="L21" s="1" t="s">
        <v>91</v>
      </c>
      <c r="M21" s="1" t="s">
        <v>92</v>
      </c>
      <c r="Q21" s="1">
        <v>0.27</v>
      </c>
      <c r="R21" s="1">
        <v>5.0</v>
      </c>
      <c r="S21" s="1">
        <f t="shared" si="3"/>
        <v>1.35</v>
      </c>
    </row>
    <row r="22">
      <c r="A22" s="2">
        <v>45223.0</v>
      </c>
      <c r="B22" s="1">
        <v>200523.0</v>
      </c>
      <c r="C22" s="1">
        <v>0.0</v>
      </c>
      <c r="D22" s="1" t="s">
        <v>25</v>
      </c>
      <c r="E22" s="1" t="s">
        <v>18</v>
      </c>
      <c r="F22" s="1">
        <v>40.8</v>
      </c>
      <c r="G22" s="1">
        <v>41.0</v>
      </c>
      <c r="H22" s="1">
        <v>1.99</v>
      </c>
      <c r="I22" s="3">
        <f t="shared" si="1"/>
        <v>0.9803921569</v>
      </c>
      <c r="J22" s="1">
        <f t="shared" si="2"/>
        <v>0.9756097561</v>
      </c>
      <c r="K22" s="1" t="s">
        <v>49</v>
      </c>
      <c r="L22" s="1" t="s">
        <v>93</v>
      </c>
      <c r="M22" s="1" t="s">
        <v>94</v>
      </c>
      <c r="N22" s="1" t="s">
        <v>52</v>
      </c>
      <c r="O22" s="1" t="s">
        <v>64</v>
      </c>
      <c r="Q22" s="1">
        <v>0.79</v>
      </c>
      <c r="R22" s="1">
        <v>2.0</v>
      </c>
      <c r="S22" s="1">
        <f t="shared" si="3"/>
        <v>1.58</v>
      </c>
    </row>
    <row r="23">
      <c r="A23" s="2">
        <v>45223.0</v>
      </c>
      <c r="B23" s="1">
        <v>220523.0</v>
      </c>
      <c r="C23" s="1">
        <v>15.0</v>
      </c>
      <c r="D23" s="1" t="s">
        <v>27</v>
      </c>
      <c r="E23" s="1" t="s">
        <v>19</v>
      </c>
      <c r="F23" s="1">
        <v>25.2</v>
      </c>
      <c r="G23" s="1">
        <v>35.8667</v>
      </c>
      <c r="H23" s="1">
        <v>2.03</v>
      </c>
      <c r="I23" s="3">
        <f t="shared" si="1"/>
        <v>1.587301587</v>
      </c>
      <c r="J23" s="1">
        <f t="shared" si="2"/>
        <v>1.115240599</v>
      </c>
      <c r="K23" s="1" t="s">
        <v>46</v>
      </c>
      <c r="L23" s="1" t="s">
        <v>95</v>
      </c>
      <c r="M23" s="1" t="s">
        <v>96</v>
      </c>
      <c r="O23" s="1" t="s">
        <v>52</v>
      </c>
      <c r="Q23" s="1">
        <v>0.356</v>
      </c>
      <c r="R23" s="1">
        <v>3.0</v>
      </c>
      <c r="S23" s="1">
        <f t="shared" si="3"/>
        <v>1.068</v>
      </c>
    </row>
    <row r="24">
      <c r="A24" s="2">
        <v>45223.0</v>
      </c>
      <c r="B24" s="1">
        <v>200523.0</v>
      </c>
      <c r="C24" s="1">
        <v>30.0</v>
      </c>
      <c r="D24" s="1" t="s">
        <v>25</v>
      </c>
      <c r="E24" s="1" t="s">
        <v>21</v>
      </c>
      <c r="F24" s="1">
        <v>4.72</v>
      </c>
      <c r="G24" s="1">
        <v>43.8</v>
      </c>
      <c r="H24" s="1">
        <v>2.11</v>
      </c>
      <c r="I24" s="3">
        <f t="shared" si="1"/>
        <v>8.474576271</v>
      </c>
      <c r="J24" s="1">
        <f t="shared" si="2"/>
        <v>0.9132420091</v>
      </c>
      <c r="K24" s="1" t="s">
        <v>53</v>
      </c>
      <c r="L24" s="1" t="s">
        <v>97</v>
      </c>
      <c r="M24" s="1" t="s">
        <v>98</v>
      </c>
      <c r="O24" s="1" t="s">
        <v>44</v>
      </c>
      <c r="Q24" s="1">
        <v>0.0876</v>
      </c>
      <c r="R24" s="1">
        <v>7.0</v>
      </c>
      <c r="S24" s="1">
        <f t="shared" si="3"/>
        <v>0.6132</v>
      </c>
    </row>
    <row r="25">
      <c r="A25" s="2">
        <v>45224.0</v>
      </c>
      <c r="B25" s="1">
        <v>220523.0</v>
      </c>
      <c r="C25" s="1">
        <v>0.0</v>
      </c>
      <c r="D25" s="1" t="s">
        <v>27</v>
      </c>
      <c r="E25" s="1" t="s">
        <v>18</v>
      </c>
      <c r="F25" s="1">
        <v>26.2</v>
      </c>
      <c r="G25" s="1">
        <v>36.4</v>
      </c>
      <c r="H25" s="1">
        <v>1.99</v>
      </c>
      <c r="I25" s="3">
        <f t="shared" si="1"/>
        <v>1.526717557</v>
      </c>
      <c r="J25" s="1">
        <f t="shared" si="2"/>
        <v>1.098901099</v>
      </c>
      <c r="K25" s="1" t="s">
        <v>49</v>
      </c>
      <c r="L25" s="1" t="s">
        <v>99</v>
      </c>
      <c r="M25" s="1" t="s">
        <v>100</v>
      </c>
      <c r="Q25" s="1">
        <v>0.43</v>
      </c>
      <c r="R25" s="1">
        <v>3.0</v>
      </c>
      <c r="S25" s="1">
        <f t="shared" si="3"/>
        <v>1.29</v>
      </c>
    </row>
    <row r="26">
      <c r="A26" s="2">
        <v>45224.0</v>
      </c>
      <c r="B26" s="1">
        <v>260523.0</v>
      </c>
      <c r="C26" s="1">
        <v>22.5</v>
      </c>
      <c r="D26" s="1" t="s">
        <v>29</v>
      </c>
      <c r="E26" s="1" t="s">
        <v>20</v>
      </c>
      <c r="F26" s="1">
        <v>19.1</v>
      </c>
      <c r="G26" s="1">
        <v>34.4</v>
      </c>
      <c r="H26" s="1">
        <v>2.11</v>
      </c>
      <c r="I26" s="3">
        <f t="shared" si="1"/>
        <v>2.094240838</v>
      </c>
      <c r="J26" s="1">
        <f t="shared" si="2"/>
        <v>1.162790698</v>
      </c>
      <c r="K26" s="1" t="s">
        <v>46</v>
      </c>
      <c r="L26" s="1" t="s">
        <v>101</v>
      </c>
      <c r="M26" s="1" t="s">
        <v>102</v>
      </c>
      <c r="O26" s="1" t="s">
        <v>45</v>
      </c>
      <c r="Q26" s="1">
        <v>0.368</v>
      </c>
      <c r="R26" s="1">
        <v>3.0</v>
      </c>
      <c r="S26" s="1">
        <f t="shared" si="3"/>
        <v>1.104</v>
      </c>
    </row>
    <row r="27">
      <c r="A27" s="2">
        <v>45230.0</v>
      </c>
      <c r="B27" s="1">
        <v>280523.0</v>
      </c>
      <c r="C27" s="1">
        <v>7.5</v>
      </c>
      <c r="D27" s="1" t="s">
        <v>26</v>
      </c>
      <c r="E27" s="1" t="s">
        <v>24</v>
      </c>
      <c r="F27" s="1">
        <v>23.4</v>
      </c>
      <c r="G27" s="1">
        <v>38.2</v>
      </c>
      <c r="H27" s="1">
        <v>2.06</v>
      </c>
      <c r="I27" s="3">
        <f t="shared" si="1"/>
        <v>1.709401709</v>
      </c>
      <c r="J27" s="1">
        <f t="shared" si="2"/>
        <v>1.047120419</v>
      </c>
      <c r="K27" s="1" t="s">
        <v>41</v>
      </c>
      <c r="L27" s="11" t="s">
        <v>103</v>
      </c>
      <c r="M27" s="1" t="s">
        <v>104</v>
      </c>
      <c r="O27" s="1" t="s">
        <v>44</v>
      </c>
      <c r="Q27" s="1">
        <v>1.1</v>
      </c>
      <c r="R27" s="1">
        <v>1.0</v>
      </c>
      <c r="S27" s="1">
        <f t="shared" si="3"/>
        <v>1.1</v>
      </c>
    </row>
    <row r="28">
      <c r="A28" s="2">
        <v>45230.0</v>
      </c>
      <c r="B28" s="1">
        <v>80523.0</v>
      </c>
      <c r="C28" s="1">
        <v>15.0</v>
      </c>
      <c r="D28" s="1" t="s">
        <v>17</v>
      </c>
      <c r="E28" s="1" t="s">
        <v>19</v>
      </c>
      <c r="F28" s="1">
        <v>36.2</v>
      </c>
      <c r="G28" s="1">
        <v>34.0</v>
      </c>
      <c r="H28" s="1">
        <v>2.09</v>
      </c>
      <c r="I28" s="3">
        <f t="shared" si="1"/>
        <v>1.104972376</v>
      </c>
      <c r="J28" s="1">
        <f t="shared" si="2"/>
        <v>1.176470588</v>
      </c>
      <c r="K28" s="1" t="s">
        <v>49</v>
      </c>
      <c r="L28" s="1" t="s">
        <v>105</v>
      </c>
      <c r="M28" s="1" t="s">
        <v>106</v>
      </c>
      <c r="O28" s="1" t="s">
        <v>64</v>
      </c>
      <c r="Q28" s="1">
        <v>0.608</v>
      </c>
      <c r="R28" s="1">
        <v>3.0</v>
      </c>
      <c r="S28" s="1">
        <f t="shared" si="3"/>
        <v>1.824</v>
      </c>
    </row>
    <row r="29">
      <c r="A29" s="2">
        <v>45230.0</v>
      </c>
      <c r="B29" s="1">
        <v>80523.0</v>
      </c>
      <c r="C29" s="1">
        <v>37.5</v>
      </c>
      <c r="D29" s="1" t="s">
        <v>17</v>
      </c>
      <c r="E29" s="1" t="s">
        <v>23</v>
      </c>
      <c r="F29" s="1">
        <v>10.6</v>
      </c>
      <c r="G29" s="12">
        <v>0.806</v>
      </c>
      <c r="H29" s="1">
        <v>2.1</v>
      </c>
      <c r="I29" s="3">
        <f t="shared" si="1"/>
        <v>3.773584906</v>
      </c>
      <c r="J29" s="1">
        <f t="shared" si="2"/>
        <v>49.62779156</v>
      </c>
      <c r="K29" s="1" t="s">
        <v>46</v>
      </c>
      <c r="L29" s="1" t="s">
        <v>107</v>
      </c>
      <c r="M29" s="12"/>
      <c r="Q29" s="1">
        <v>0.36</v>
      </c>
      <c r="R29" s="1">
        <v>3.0</v>
      </c>
      <c r="S29" s="1">
        <f t="shared" si="3"/>
        <v>1.08</v>
      </c>
      <c r="T29" s="1" t="s">
        <v>108</v>
      </c>
    </row>
    <row r="30">
      <c r="A30" s="2">
        <v>45230.0</v>
      </c>
      <c r="B30" s="1">
        <v>280523.0</v>
      </c>
      <c r="C30" s="1">
        <v>37.5</v>
      </c>
      <c r="D30" s="1" t="s">
        <v>26</v>
      </c>
      <c r="E30" s="1" t="s">
        <v>23</v>
      </c>
      <c r="F30" s="1">
        <v>6.86</v>
      </c>
      <c r="G30" s="1">
        <v>31.8</v>
      </c>
      <c r="H30" s="1">
        <v>2.12</v>
      </c>
      <c r="I30" s="3">
        <f t="shared" si="1"/>
        <v>5.83090379</v>
      </c>
      <c r="J30" s="1">
        <f t="shared" si="2"/>
        <v>1.257861635</v>
      </c>
      <c r="K30" s="1" t="s">
        <v>53</v>
      </c>
      <c r="L30" s="1" t="s">
        <v>109</v>
      </c>
      <c r="M30" s="1" t="s">
        <v>110</v>
      </c>
      <c r="Q30" s="1">
        <v>0.183</v>
      </c>
      <c r="R30" s="1">
        <v>5.0</v>
      </c>
      <c r="S30" s="1">
        <f t="shared" si="3"/>
        <v>0.915</v>
      </c>
    </row>
    <row r="31">
      <c r="A31" s="2">
        <v>45198.0</v>
      </c>
      <c r="B31" s="1" t="s">
        <v>111</v>
      </c>
      <c r="K31" s="1" t="s">
        <v>53</v>
      </c>
      <c r="L31" s="1" t="s">
        <v>112</v>
      </c>
      <c r="M31" s="1" t="s">
        <v>113</v>
      </c>
      <c r="Q31" s="1">
        <v>0.0</v>
      </c>
      <c r="R31" s="1">
        <v>1.0</v>
      </c>
      <c r="S31" s="1">
        <f t="shared" si="3"/>
        <v>0</v>
      </c>
    </row>
    <row r="32">
      <c r="A32" s="5">
        <v>45188.0</v>
      </c>
      <c r="B32" s="1">
        <v>220523.0</v>
      </c>
      <c r="C32" s="1">
        <v>30.0</v>
      </c>
      <c r="D32" s="1" t="s">
        <v>27</v>
      </c>
      <c r="E32" s="1" t="s">
        <v>21</v>
      </c>
      <c r="F32" s="12">
        <v>0.608</v>
      </c>
      <c r="G32" s="1">
        <v>6.24</v>
      </c>
      <c r="H32" s="1">
        <v>1.9</v>
      </c>
      <c r="I32" s="3">
        <f t="shared" ref="I32:I33" si="4">(20*2)/F32</f>
        <v>65.78947368</v>
      </c>
      <c r="J32" s="1">
        <f t="shared" ref="J32:J33" si="5">(2*20)/G32</f>
        <v>6.41025641</v>
      </c>
      <c r="K32" s="1" t="s">
        <v>53</v>
      </c>
      <c r="L32" s="12" t="s">
        <v>114</v>
      </c>
      <c r="M32" s="1" t="s">
        <v>115</v>
      </c>
      <c r="Q32" s="1">
        <v>0.162</v>
      </c>
      <c r="R32" s="1">
        <v>7.0</v>
      </c>
      <c r="S32" s="1">
        <f t="shared" si="3"/>
        <v>1.134</v>
      </c>
      <c r="T32" s="1" t="s">
        <v>116</v>
      </c>
    </row>
    <row r="33">
      <c r="A33" s="2">
        <v>45224.0</v>
      </c>
      <c r="B33" s="1">
        <v>260523.0</v>
      </c>
      <c r="C33" s="1">
        <v>30.0</v>
      </c>
      <c r="D33" s="1" t="s">
        <v>29</v>
      </c>
      <c r="E33" s="1" t="s">
        <v>21</v>
      </c>
      <c r="F33" s="12">
        <v>0.0</v>
      </c>
      <c r="G33" s="1">
        <v>30.7</v>
      </c>
      <c r="H33" s="1">
        <v>2.09</v>
      </c>
      <c r="I33" s="3" t="str">
        <f t="shared" si="4"/>
        <v>#DIV/0!</v>
      </c>
      <c r="J33" s="1">
        <f t="shared" si="5"/>
        <v>1.302931596</v>
      </c>
      <c r="K33" s="1" t="s">
        <v>53</v>
      </c>
      <c r="L33" s="12"/>
      <c r="M33" s="1" t="s">
        <v>117</v>
      </c>
      <c r="O33" s="1" t="s">
        <v>44</v>
      </c>
      <c r="Q33" s="1">
        <v>0.692</v>
      </c>
      <c r="R33" s="1">
        <v>2.0</v>
      </c>
      <c r="S33" s="1">
        <f t="shared" si="3"/>
        <v>1.384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118</v>
      </c>
      <c r="C1" s="1" t="s">
        <v>119</v>
      </c>
      <c r="D1" s="1" t="s">
        <v>120</v>
      </c>
      <c r="E1" s="1"/>
      <c r="F1" s="1" t="s">
        <v>34</v>
      </c>
      <c r="G1" s="1" t="s">
        <v>118</v>
      </c>
      <c r="H1" s="1" t="s">
        <v>119</v>
      </c>
      <c r="I1" s="1" t="s">
        <v>121</v>
      </c>
    </row>
    <row r="2">
      <c r="A2" s="1" t="s">
        <v>42</v>
      </c>
      <c r="B2" s="13" t="s">
        <v>122</v>
      </c>
      <c r="C2" s="13" t="s">
        <v>123</v>
      </c>
      <c r="D2" s="1" t="s">
        <v>124</v>
      </c>
      <c r="E2" s="1"/>
      <c r="F2" s="1" t="s">
        <v>43</v>
      </c>
      <c r="G2" s="13" t="s">
        <v>125</v>
      </c>
      <c r="H2" s="14" t="s">
        <v>126</v>
      </c>
      <c r="I2" s="1" t="s">
        <v>127</v>
      </c>
    </row>
    <row r="3">
      <c r="A3" s="1" t="s">
        <v>47</v>
      </c>
      <c r="B3" s="14" t="s">
        <v>128</v>
      </c>
      <c r="C3" s="14" t="s">
        <v>123</v>
      </c>
      <c r="D3" s="1" t="s">
        <v>129</v>
      </c>
      <c r="E3" s="1"/>
      <c r="F3" s="1" t="s">
        <v>48</v>
      </c>
      <c r="G3" s="14" t="s">
        <v>130</v>
      </c>
      <c r="H3" s="14" t="s">
        <v>126</v>
      </c>
      <c r="I3" s="1" t="s">
        <v>131</v>
      </c>
    </row>
    <row r="4">
      <c r="A4" s="1" t="s">
        <v>50</v>
      </c>
      <c r="B4" s="13" t="s">
        <v>132</v>
      </c>
      <c r="C4" s="13" t="s">
        <v>123</v>
      </c>
      <c r="D4" s="1" t="s">
        <v>133</v>
      </c>
      <c r="E4" s="1"/>
      <c r="F4" s="1" t="s">
        <v>51</v>
      </c>
      <c r="G4" s="13" t="s">
        <v>134</v>
      </c>
      <c r="H4" s="14" t="s">
        <v>126</v>
      </c>
      <c r="I4" s="1" t="s">
        <v>135</v>
      </c>
    </row>
    <row r="5">
      <c r="A5" s="1" t="s">
        <v>54</v>
      </c>
      <c r="B5" s="14" t="s">
        <v>136</v>
      </c>
      <c r="C5" s="14" t="s">
        <v>123</v>
      </c>
      <c r="D5" s="1" t="s">
        <v>137</v>
      </c>
      <c r="E5" s="1"/>
      <c r="F5" s="1" t="s">
        <v>55</v>
      </c>
      <c r="G5" s="14" t="s">
        <v>138</v>
      </c>
      <c r="H5" s="14" t="s">
        <v>126</v>
      </c>
      <c r="I5" s="1" t="s">
        <v>139</v>
      </c>
    </row>
    <row r="6">
      <c r="A6" s="1" t="s">
        <v>57</v>
      </c>
      <c r="B6" s="13" t="s">
        <v>140</v>
      </c>
      <c r="C6" s="13" t="s">
        <v>123</v>
      </c>
      <c r="D6" s="1" t="s">
        <v>141</v>
      </c>
      <c r="E6" s="1"/>
      <c r="F6" s="1" t="s">
        <v>58</v>
      </c>
      <c r="G6" s="13" t="s">
        <v>142</v>
      </c>
      <c r="H6" s="14" t="s">
        <v>126</v>
      </c>
      <c r="I6" s="1" t="s">
        <v>143</v>
      </c>
    </row>
    <row r="7">
      <c r="A7" s="1" t="s">
        <v>59</v>
      </c>
      <c r="B7" s="14" t="s">
        <v>144</v>
      </c>
      <c r="C7" s="14" t="s">
        <v>123</v>
      </c>
      <c r="D7" s="1" t="s">
        <v>145</v>
      </c>
      <c r="E7" s="1"/>
      <c r="F7" s="1" t="s">
        <v>60</v>
      </c>
      <c r="G7" s="14" t="s">
        <v>146</v>
      </c>
      <c r="H7" s="14" t="s">
        <v>126</v>
      </c>
      <c r="I7" s="1" t="s">
        <v>147</v>
      </c>
    </row>
    <row r="8">
      <c r="A8" s="1" t="s">
        <v>61</v>
      </c>
      <c r="B8" s="13" t="s">
        <v>148</v>
      </c>
      <c r="C8" s="13" t="s">
        <v>123</v>
      </c>
      <c r="D8" s="1" t="s">
        <v>149</v>
      </c>
      <c r="E8" s="1"/>
      <c r="F8" s="1" t="s">
        <v>62</v>
      </c>
      <c r="G8" s="13" t="s">
        <v>150</v>
      </c>
      <c r="H8" s="14" t="s">
        <v>126</v>
      </c>
      <c r="I8" s="1" t="s">
        <v>151</v>
      </c>
    </row>
    <row r="9">
      <c r="A9" s="1" t="s">
        <v>65</v>
      </c>
      <c r="B9" s="14" t="s">
        <v>152</v>
      </c>
      <c r="C9" s="14" t="s">
        <v>123</v>
      </c>
      <c r="D9" s="1" t="s">
        <v>153</v>
      </c>
      <c r="E9" s="1"/>
      <c r="F9" s="1" t="s">
        <v>66</v>
      </c>
      <c r="G9" s="14" t="s">
        <v>154</v>
      </c>
      <c r="H9" s="14" t="s">
        <v>126</v>
      </c>
      <c r="I9" s="1" t="s">
        <v>155</v>
      </c>
    </row>
    <row r="10">
      <c r="A10" s="1" t="s">
        <v>67</v>
      </c>
      <c r="B10" s="13" t="s">
        <v>125</v>
      </c>
      <c r="C10" s="13" t="s">
        <v>123</v>
      </c>
      <c r="D10" s="1" t="s">
        <v>156</v>
      </c>
      <c r="E10" s="1"/>
      <c r="F10" s="1" t="s">
        <v>68</v>
      </c>
      <c r="G10" s="13" t="s">
        <v>157</v>
      </c>
      <c r="H10" s="14" t="s">
        <v>126</v>
      </c>
      <c r="I10" s="1" t="s">
        <v>158</v>
      </c>
    </row>
    <row r="11">
      <c r="A11" s="1" t="s">
        <v>69</v>
      </c>
      <c r="B11" s="14" t="s">
        <v>130</v>
      </c>
      <c r="C11" s="14" t="s">
        <v>123</v>
      </c>
      <c r="D11" s="1" t="s">
        <v>159</v>
      </c>
      <c r="E11" s="1"/>
      <c r="F11" s="1" t="s">
        <v>70</v>
      </c>
      <c r="G11" s="13" t="s">
        <v>160</v>
      </c>
      <c r="H11" s="14" t="s">
        <v>126</v>
      </c>
      <c r="I11" s="1" t="s">
        <v>161</v>
      </c>
    </row>
    <row r="12">
      <c r="A12" s="1" t="s">
        <v>71</v>
      </c>
      <c r="B12" s="13" t="s">
        <v>134</v>
      </c>
      <c r="C12" s="13" t="s">
        <v>123</v>
      </c>
      <c r="D12" s="1" t="s">
        <v>162</v>
      </c>
      <c r="E12" s="1"/>
      <c r="F12" s="1" t="s">
        <v>72</v>
      </c>
      <c r="G12" s="14" t="s">
        <v>163</v>
      </c>
      <c r="H12" s="14" t="s">
        <v>126</v>
      </c>
      <c r="I12" s="1" t="s">
        <v>164</v>
      </c>
    </row>
    <row r="13">
      <c r="A13" s="12" t="s">
        <v>114</v>
      </c>
      <c r="B13" s="14" t="s">
        <v>138</v>
      </c>
      <c r="C13" s="14" t="s">
        <v>123</v>
      </c>
      <c r="D13" s="1" t="s">
        <v>165</v>
      </c>
      <c r="E13" s="1"/>
      <c r="F13" s="1" t="s">
        <v>115</v>
      </c>
      <c r="G13" s="13" t="s">
        <v>166</v>
      </c>
      <c r="H13" s="14" t="s">
        <v>126</v>
      </c>
      <c r="I13" s="1" t="s">
        <v>167</v>
      </c>
    </row>
    <row r="14">
      <c r="A14" s="1" t="s">
        <v>73</v>
      </c>
      <c r="B14" s="13" t="s">
        <v>142</v>
      </c>
      <c r="C14" s="13" t="s">
        <v>123</v>
      </c>
      <c r="D14" s="1" t="s">
        <v>168</v>
      </c>
      <c r="E14" s="1"/>
      <c r="F14" s="1" t="s">
        <v>74</v>
      </c>
      <c r="G14" s="14" t="s">
        <v>169</v>
      </c>
      <c r="H14" s="14" t="s">
        <v>126</v>
      </c>
      <c r="I14" s="1" t="s">
        <v>170</v>
      </c>
    </row>
    <row r="15">
      <c r="A15" s="1" t="s">
        <v>76</v>
      </c>
      <c r="B15" s="14" t="s">
        <v>146</v>
      </c>
      <c r="C15" s="14" t="s">
        <v>123</v>
      </c>
      <c r="D15" s="1" t="s">
        <v>171</v>
      </c>
      <c r="E15" s="1"/>
      <c r="F15" s="1" t="s">
        <v>77</v>
      </c>
      <c r="G15" s="13" t="s">
        <v>172</v>
      </c>
      <c r="H15" s="14" t="s">
        <v>126</v>
      </c>
      <c r="I15" s="1" t="s">
        <v>173</v>
      </c>
    </row>
    <row r="16">
      <c r="A16" s="1" t="s">
        <v>78</v>
      </c>
      <c r="B16" s="13" t="s">
        <v>150</v>
      </c>
      <c r="C16" s="13" t="s">
        <v>123</v>
      </c>
      <c r="D16" s="1" t="s">
        <v>174</v>
      </c>
      <c r="E16" s="1"/>
      <c r="F16" s="1" t="s">
        <v>79</v>
      </c>
      <c r="G16" s="13" t="s">
        <v>122</v>
      </c>
      <c r="H16" s="14" t="s">
        <v>175</v>
      </c>
      <c r="I16" s="1" t="s">
        <v>176</v>
      </c>
    </row>
    <row r="17">
      <c r="A17" s="1" t="s">
        <v>80</v>
      </c>
      <c r="B17" s="14" t="s">
        <v>154</v>
      </c>
      <c r="C17" s="14" t="s">
        <v>123</v>
      </c>
      <c r="D17" s="1" t="s">
        <v>177</v>
      </c>
      <c r="E17" s="1"/>
      <c r="F17" s="1" t="s">
        <v>81</v>
      </c>
      <c r="G17" s="14" t="s">
        <v>128</v>
      </c>
      <c r="H17" s="14" t="s">
        <v>175</v>
      </c>
      <c r="I17" s="1" t="s">
        <v>178</v>
      </c>
    </row>
    <row r="18">
      <c r="A18" s="1" t="s">
        <v>82</v>
      </c>
      <c r="B18" s="13" t="s">
        <v>157</v>
      </c>
      <c r="C18" s="13" t="s">
        <v>123</v>
      </c>
      <c r="D18" s="1" t="s">
        <v>179</v>
      </c>
      <c r="E18" s="1"/>
      <c r="F18" s="1" t="s">
        <v>83</v>
      </c>
      <c r="G18" s="13" t="s">
        <v>132</v>
      </c>
      <c r="H18" s="14" t="s">
        <v>175</v>
      </c>
      <c r="I18" s="1" t="s">
        <v>180</v>
      </c>
    </row>
    <row r="19">
      <c r="A19" s="1" t="s">
        <v>85</v>
      </c>
      <c r="B19" s="13" t="s">
        <v>160</v>
      </c>
      <c r="C19" s="14" t="s">
        <v>123</v>
      </c>
      <c r="D19" s="1" t="s">
        <v>181</v>
      </c>
      <c r="E19" s="1"/>
      <c r="F19" s="1" t="s">
        <v>86</v>
      </c>
      <c r="G19" s="14" t="s">
        <v>136</v>
      </c>
      <c r="H19" s="14" t="s">
        <v>175</v>
      </c>
      <c r="I19" s="1" t="s">
        <v>182</v>
      </c>
    </row>
    <row r="20">
      <c r="A20" s="1" t="s">
        <v>87</v>
      </c>
      <c r="B20" s="14" t="s">
        <v>163</v>
      </c>
      <c r="C20" s="13" t="s">
        <v>123</v>
      </c>
      <c r="D20" s="1" t="s">
        <v>183</v>
      </c>
      <c r="E20" s="1"/>
      <c r="F20" s="1" t="s">
        <v>88</v>
      </c>
      <c r="G20" s="13" t="s">
        <v>140</v>
      </c>
      <c r="H20" s="14" t="s">
        <v>175</v>
      </c>
      <c r="I20" s="1" t="s">
        <v>184</v>
      </c>
    </row>
    <row r="21">
      <c r="A21" s="1" t="s">
        <v>89</v>
      </c>
      <c r="B21" s="13" t="s">
        <v>166</v>
      </c>
      <c r="C21" s="14" t="s">
        <v>123</v>
      </c>
      <c r="D21" s="1" t="s">
        <v>185</v>
      </c>
      <c r="E21" s="1"/>
      <c r="F21" s="1" t="s">
        <v>90</v>
      </c>
      <c r="G21" s="14" t="s">
        <v>144</v>
      </c>
      <c r="H21" s="14" t="s">
        <v>175</v>
      </c>
      <c r="I21" s="1" t="s">
        <v>186</v>
      </c>
    </row>
    <row r="22">
      <c r="A22" s="1" t="s">
        <v>91</v>
      </c>
      <c r="B22" s="14" t="s">
        <v>169</v>
      </c>
      <c r="C22" s="13" t="s">
        <v>123</v>
      </c>
      <c r="D22" s="1" t="s">
        <v>187</v>
      </c>
      <c r="E22" s="1"/>
      <c r="F22" s="1" t="s">
        <v>92</v>
      </c>
      <c r="G22" s="13" t="s">
        <v>148</v>
      </c>
      <c r="H22" s="14" t="s">
        <v>175</v>
      </c>
      <c r="I22" s="1" t="s">
        <v>188</v>
      </c>
    </row>
    <row r="23">
      <c r="A23" s="1" t="s">
        <v>93</v>
      </c>
      <c r="B23" s="13" t="s">
        <v>172</v>
      </c>
      <c r="C23" s="14" t="s">
        <v>123</v>
      </c>
      <c r="D23" s="1" t="s">
        <v>189</v>
      </c>
      <c r="E23" s="1"/>
      <c r="F23" s="1" t="s">
        <v>94</v>
      </c>
      <c r="G23" s="14" t="s">
        <v>152</v>
      </c>
      <c r="H23" s="14" t="s">
        <v>175</v>
      </c>
      <c r="I23" s="1" t="s">
        <v>190</v>
      </c>
    </row>
    <row r="24">
      <c r="A24" s="1" t="s">
        <v>95</v>
      </c>
      <c r="B24" s="13" t="s">
        <v>122</v>
      </c>
      <c r="C24" s="14" t="s">
        <v>126</v>
      </c>
      <c r="D24" s="1" t="s">
        <v>191</v>
      </c>
      <c r="E24" s="1"/>
      <c r="F24" s="1" t="s">
        <v>96</v>
      </c>
      <c r="G24" s="13" t="s">
        <v>125</v>
      </c>
      <c r="H24" s="14" t="s">
        <v>175</v>
      </c>
      <c r="I24" s="1" t="s">
        <v>192</v>
      </c>
    </row>
    <row r="25">
      <c r="A25" s="1" t="s">
        <v>97</v>
      </c>
      <c r="B25" s="14" t="s">
        <v>128</v>
      </c>
      <c r="C25" s="13" t="s">
        <v>126</v>
      </c>
      <c r="D25" s="1" t="s">
        <v>193</v>
      </c>
      <c r="E25" s="1"/>
      <c r="F25" s="1" t="s">
        <v>98</v>
      </c>
      <c r="G25" s="14" t="s">
        <v>130</v>
      </c>
      <c r="H25" s="14" t="s">
        <v>175</v>
      </c>
      <c r="I25" s="1" t="s">
        <v>194</v>
      </c>
    </row>
    <row r="26">
      <c r="A26" s="1" t="s">
        <v>99</v>
      </c>
      <c r="B26" s="13" t="s">
        <v>132</v>
      </c>
      <c r="C26" s="14" t="s">
        <v>126</v>
      </c>
      <c r="D26" s="1" t="s">
        <v>195</v>
      </c>
      <c r="E26" s="1"/>
      <c r="F26" s="1" t="s">
        <v>100</v>
      </c>
      <c r="G26" s="13" t="s">
        <v>134</v>
      </c>
      <c r="H26" s="14" t="s">
        <v>175</v>
      </c>
      <c r="I26" s="1" t="s">
        <v>196</v>
      </c>
    </row>
    <row r="27">
      <c r="A27" s="1" t="s">
        <v>101</v>
      </c>
      <c r="B27" s="14" t="s">
        <v>136</v>
      </c>
      <c r="C27" s="13" t="s">
        <v>126</v>
      </c>
      <c r="D27" s="1" t="s">
        <v>197</v>
      </c>
      <c r="E27" s="1"/>
      <c r="F27" s="1" t="s">
        <v>102</v>
      </c>
      <c r="G27" s="14" t="s">
        <v>138</v>
      </c>
      <c r="H27" s="14" t="s">
        <v>175</v>
      </c>
      <c r="I27" s="1" t="s">
        <v>198</v>
      </c>
    </row>
    <row r="28">
      <c r="E28" s="1"/>
    </row>
    <row r="29">
      <c r="A29" s="11" t="s">
        <v>103</v>
      </c>
      <c r="B29" s="13" t="s">
        <v>140</v>
      </c>
      <c r="C29" s="14" t="s">
        <v>126</v>
      </c>
      <c r="D29" s="1" t="s">
        <v>199</v>
      </c>
      <c r="E29" s="1"/>
      <c r="F29" s="1" t="s">
        <v>104</v>
      </c>
      <c r="G29" s="14" t="s">
        <v>146</v>
      </c>
      <c r="H29" s="14" t="s">
        <v>175</v>
      </c>
      <c r="I29" s="1" t="s">
        <v>200</v>
      </c>
    </row>
    <row r="30">
      <c r="A30" s="1" t="s">
        <v>105</v>
      </c>
      <c r="B30" s="14" t="s">
        <v>144</v>
      </c>
      <c r="C30" s="13" t="s">
        <v>126</v>
      </c>
      <c r="D30" s="1" t="s">
        <v>201</v>
      </c>
      <c r="E30" s="1"/>
      <c r="F30" s="1" t="s">
        <v>106</v>
      </c>
      <c r="G30" s="13" t="s">
        <v>150</v>
      </c>
      <c r="H30" s="14" t="s">
        <v>175</v>
      </c>
      <c r="I30" s="1" t="s">
        <v>202</v>
      </c>
    </row>
    <row r="31">
      <c r="A31" s="1" t="s">
        <v>109</v>
      </c>
      <c r="B31" s="15" t="s">
        <v>203</v>
      </c>
      <c r="C31" s="15" t="s">
        <v>204</v>
      </c>
      <c r="E31" s="1"/>
      <c r="F31" s="1" t="s">
        <v>110</v>
      </c>
      <c r="G31" s="14" t="s">
        <v>154</v>
      </c>
      <c r="H31" s="14" t="s">
        <v>175</v>
      </c>
      <c r="I31" s="1" t="s">
        <v>205</v>
      </c>
    </row>
    <row r="32">
      <c r="A32" s="1" t="s">
        <v>112</v>
      </c>
      <c r="B32" s="14" t="s">
        <v>152</v>
      </c>
      <c r="C32" s="13" t="s">
        <v>126</v>
      </c>
      <c r="D32" s="1" t="s">
        <v>206</v>
      </c>
      <c r="E32" s="1"/>
      <c r="F32" s="1" t="s">
        <v>113</v>
      </c>
      <c r="G32" s="13" t="s">
        <v>157</v>
      </c>
      <c r="H32" s="14" t="s">
        <v>175</v>
      </c>
      <c r="I32" s="1" t="s">
        <v>207</v>
      </c>
    </row>
    <row r="33">
      <c r="A33" s="1" t="s">
        <v>208</v>
      </c>
      <c r="B33" s="1" t="s">
        <v>209</v>
      </c>
      <c r="C33" s="1" t="s">
        <v>209</v>
      </c>
      <c r="F33" s="1" t="s">
        <v>117</v>
      </c>
      <c r="G33" s="13" t="s">
        <v>142</v>
      </c>
      <c r="H33" s="14" t="s">
        <v>175</v>
      </c>
      <c r="I33" s="1" t="s">
        <v>210</v>
      </c>
    </row>
    <row r="34">
      <c r="A34" s="1" t="s">
        <v>107</v>
      </c>
      <c r="B34" s="13" t="s">
        <v>148</v>
      </c>
      <c r="C34" s="14" t="s">
        <v>126</v>
      </c>
      <c r="D34" s="1" t="s">
        <v>211</v>
      </c>
      <c r="F34" s="16" t="s">
        <v>212</v>
      </c>
      <c r="G34" s="17" t="s">
        <v>209</v>
      </c>
      <c r="H34" s="18" t="s">
        <v>209</v>
      </c>
      <c r="I34" s="1" t="s">
        <v>209</v>
      </c>
    </row>
    <row r="35">
      <c r="G35" s="13"/>
      <c r="H35" s="13"/>
    </row>
    <row r="36">
      <c r="G36" s="14"/>
      <c r="H36" s="13"/>
    </row>
    <row r="37">
      <c r="G37" s="13"/>
      <c r="H37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</v>
      </c>
      <c r="B1" s="1" t="s">
        <v>213</v>
      </c>
      <c r="C1" s="1" t="s">
        <v>214</v>
      </c>
      <c r="D1" s="1" t="s">
        <v>120</v>
      </c>
      <c r="F1" s="1" t="s">
        <v>34</v>
      </c>
      <c r="G1" s="1" t="s">
        <v>213</v>
      </c>
      <c r="H1" s="1" t="s">
        <v>214</v>
      </c>
      <c r="I1" s="1" t="s">
        <v>121</v>
      </c>
    </row>
    <row r="2">
      <c r="A2" s="1" t="s">
        <v>42</v>
      </c>
      <c r="B2" s="13" t="s">
        <v>160</v>
      </c>
      <c r="C2" s="14" t="s">
        <v>175</v>
      </c>
      <c r="D2" s="1" t="s">
        <v>124</v>
      </c>
      <c r="F2" s="1" t="s">
        <v>43</v>
      </c>
      <c r="G2" s="13" t="s">
        <v>136</v>
      </c>
      <c r="H2" s="14" t="s">
        <v>215</v>
      </c>
      <c r="I2" s="1" t="s">
        <v>127</v>
      </c>
    </row>
    <row r="3">
      <c r="A3" s="1" t="s">
        <v>47</v>
      </c>
      <c r="B3" s="13" t="s">
        <v>163</v>
      </c>
      <c r="C3" s="14" t="s">
        <v>175</v>
      </c>
      <c r="D3" s="1" t="s">
        <v>129</v>
      </c>
      <c r="F3" s="1" t="s">
        <v>48</v>
      </c>
      <c r="G3" s="13" t="s">
        <v>140</v>
      </c>
      <c r="H3" s="14" t="s">
        <v>215</v>
      </c>
      <c r="I3" s="1" t="s">
        <v>131</v>
      </c>
    </row>
    <row r="4">
      <c r="A4" s="1" t="s">
        <v>50</v>
      </c>
      <c r="B4" s="13" t="s">
        <v>166</v>
      </c>
      <c r="C4" s="14" t="s">
        <v>175</v>
      </c>
      <c r="D4" s="1" t="s">
        <v>133</v>
      </c>
      <c r="F4" s="1" t="s">
        <v>51</v>
      </c>
      <c r="G4" s="13" t="s">
        <v>144</v>
      </c>
      <c r="H4" s="14" t="s">
        <v>215</v>
      </c>
      <c r="I4" s="1" t="s">
        <v>135</v>
      </c>
    </row>
    <row r="5">
      <c r="A5" s="1" t="s">
        <v>54</v>
      </c>
      <c r="B5" s="13" t="s">
        <v>169</v>
      </c>
      <c r="C5" s="14" t="s">
        <v>175</v>
      </c>
      <c r="D5" s="1" t="s">
        <v>137</v>
      </c>
      <c r="F5" s="1" t="s">
        <v>55</v>
      </c>
      <c r="G5" s="13" t="s">
        <v>148</v>
      </c>
      <c r="H5" s="14" t="s">
        <v>215</v>
      </c>
      <c r="I5" s="1" t="s">
        <v>139</v>
      </c>
    </row>
    <row r="6">
      <c r="A6" s="1" t="s">
        <v>57</v>
      </c>
      <c r="B6" s="13" t="s">
        <v>172</v>
      </c>
      <c r="C6" s="14" t="s">
        <v>175</v>
      </c>
      <c r="D6" s="1" t="s">
        <v>141</v>
      </c>
      <c r="F6" s="1" t="s">
        <v>58</v>
      </c>
      <c r="G6" s="13" t="s">
        <v>152</v>
      </c>
      <c r="H6" s="14" t="s">
        <v>215</v>
      </c>
      <c r="I6" s="1" t="s">
        <v>143</v>
      </c>
    </row>
    <row r="7">
      <c r="A7" s="1" t="s">
        <v>59</v>
      </c>
      <c r="B7" s="13" t="s">
        <v>122</v>
      </c>
      <c r="C7" s="14" t="s">
        <v>216</v>
      </c>
      <c r="D7" s="1" t="s">
        <v>145</v>
      </c>
      <c r="F7" s="1" t="s">
        <v>60</v>
      </c>
      <c r="G7" s="13" t="s">
        <v>125</v>
      </c>
      <c r="H7" s="14" t="s">
        <v>215</v>
      </c>
      <c r="I7" s="1" t="s">
        <v>147</v>
      </c>
    </row>
    <row r="8">
      <c r="A8" s="1" t="s">
        <v>61</v>
      </c>
      <c r="B8" s="13" t="s">
        <v>128</v>
      </c>
      <c r="C8" s="13" t="s">
        <v>216</v>
      </c>
      <c r="D8" s="1" t="s">
        <v>149</v>
      </c>
      <c r="F8" s="1" t="s">
        <v>62</v>
      </c>
      <c r="G8" s="13" t="s">
        <v>130</v>
      </c>
      <c r="H8" s="14" t="s">
        <v>215</v>
      </c>
      <c r="I8" s="1" t="s">
        <v>151</v>
      </c>
    </row>
    <row r="9">
      <c r="A9" s="1" t="s">
        <v>65</v>
      </c>
      <c r="B9" s="13" t="s">
        <v>132</v>
      </c>
      <c r="C9" s="14" t="s">
        <v>216</v>
      </c>
      <c r="D9" s="1" t="s">
        <v>153</v>
      </c>
      <c r="F9" s="1" t="s">
        <v>66</v>
      </c>
      <c r="G9" s="13" t="s">
        <v>134</v>
      </c>
      <c r="H9" s="14" t="s">
        <v>215</v>
      </c>
      <c r="I9" s="1" t="s">
        <v>155</v>
      </c>
    </row>
    <row r="10">
      <c r="A10" s="1" t="s">
        <v>67</v>
      </c>
      <c r="B10" s="13" t="s">
        <v>136</v>
      </c>
      <c r="C10" s="13" t="s">
        <v>216</v>
      </c>
      <c r="D10" s="1" t="s">
        <v>156</v>
      </c>
      <c r="F10" s="1" t="s">
        <v>68</v>
      </c>
      <c r="G10" s="13" t="s">
        <v>138</v>
      </c>
      <c r="H10" s="14" t="s">
        <v>215</v>
      </c>
      <c r="I10" s="1" t="s">
        <v>158</v>
      </c>
    </row>
    <row r="11">
      <c r="A11" s="1" t="s">
        <v>69</v>
      </c>
      <c r="B11" s="13" t="s">
        <v>140</v>
      </c>
      <c r="C11" s="14" t="s">
        <v>216</v>
      </c>
      <c r="D11" s="1" t="s">
        <v>159</v>
      </c>
      <c r="F11" s="1" t="s">
        <v>70</v>
      </c>
      <c r="G11" s="13" t="s">
        <v>142</v>
      </c>
      <c r="H11" s="14" t="s">
        <v>215</v>
      </c>
      <c r="I11" s="1" t="s">
        <v>161</v>
      </c>
    </row>
    <row r="12">
      <c r="A12" s="1" t="s">
        <v>71</v>
      </c>
      <c r="B12" s="13" t="s">
        <v>144</v>
      </c>
      <c r="C12" s="13" t="s">
        <v>216</v>
      </c>
      <c r="D12" s="1" t="s">
        <v>162</v>
      </c>
      <c r="F12" s="1" t="s">
        <v>72</v>
      </c>
      <c r="G12" s="13" t="s">
        <v>146</v>
      </c>
      <c r="H12" s="14" t="s">
        <v>215</v>
      </c>
      <c r="I12" s="1" t="s">
        <v>164</v>
      </c>
    </row>
    <row r="14">
      <c r="A14" s="1" t="s">
        <v>73</v>
      </c>
      <c r="B14" s="13" t="s">
        <v>152</v>
      </c>
      <c r="C14" s="13" t="s">
        <v>216</v>
      </c>
      <c r="D14" s="1" t="s">
        <v>168</v>
      </c>
      <c r="F14" s="1" t="s">
        <v>74</v>
      </c>
      <c r="G14" s="13" t="s">
        <v>154</v>
      </c>
      <c r="H14" s="14" t="s">
        <v>215</v>
      </c>
      <c r="I14" s="1" t="s">
        <v>170</v>
      </c>
    </row>
    <row r="15">
      <c r="A15" s="1" t="s">
        <v>76</v>
      </c>
      <c r="B15" s="13" t="s">
        <v>125</v>
      </c>
      <c r="C15" s="14" t="s">
        <v>216</v>
      </c>
      <c r="D15" s="1" t="s">
        <v>171</v>
      </c>
      <c r="F15" s="1" t="s">
        <v>77</v>
      </c>
      <c r="G15" s="13" t="s">
        <v>157</v>
      </c>
      <c r="H15" s="14" t="s">
        <v>215</v>
      </c>
      <c r="I15" s="1" t="s">
        <v>173</v>
      </c>
    </row>
    <row r="16">
      <c r="A16" s="1" t="s">
        <v>78</v>
      </c>
      <c r="B16" s="13" t="s">
        <v>130</v>
      </c>
      <c r="C16" s="13" t="s">
        <v>216</v>
      </c>
      <c r="D16" s="1" t="s">
        <v>174</v>
      </c>
      <c r="F16" s="1" t="s">
        <v>79</v>
      </c>
      <c r="G16" s="13" t="s">
        <v>160</v>
      </c>
      <c r="H16" s="14" t="s">
        <v>215</v>
      </c>
      <c r="I16" s="1" t="s">
        <v>176</v>
      </c>
    </row>
    <row r="17">
      <c r="A17" s="1" t="s">
        <v>80</v>
      </c>
      <c r="B17" s="13" t="s">
        <v>134</v>
      </c>
      <c r="C17" s="14" t="s">
        <v>216</v>
      </c>
      <c r="D17" s="1" t="s">
        <v>177</v>
      </c>
      <c r="F17" s="1" t="s">
        <v>81</v>
      </c>
      <c r="G17" s="13" t="s">
        <v>163</v>
      </c>
      <c r="H17" s="14" t="s">
        <v>215</v>
      </c>
      <c r="I17" s="1" t="s">
        <v>178</v>
      </c>
    </row>
    <row r="18">
      <c r="A18" s="1" t="s">
        <v>82</v>
      </c>
      <c r="B18" s="13" t="s">
        <v>138</v>
      </c>
      <c r="C18" s="13" t="s">
        <v>216</v>
      </c>
      <c r="D18" s="1" t="s">
        <v>179</v>
      </c>
      <c r="F18" s="1" t="s">
        <v>83</v>
      </c>
      <c r="G18" s="13" t="s">
        <v>166</v>
      </c>
      <c r="H18" s="14" t="s">
        <v>215</v>
      </c>
      <c r="I18" s="1" t="s">
        <v>180</v>
      </c>
    </row>
    <row r="19">
      <c r="A19" s="1" t="s">
        <v>85</v>
      </c>
      <c r="B19" s="13" t="s">
        <v>142</v>
      </c>
      <c r="C19" s="14" t="s">
        <v>216</v>
      </c>
      <c r="D19" s="1" t="s">
        <v>181</v>
      </c>
      <c r="F19" s="1" t="s">
        <v>86</v>
      </c>
      <c r="G19" s="13" t="s">
        <v>169</v>
      </c>
      <c r="H19" s="14" t="s">
        <v>215</v>
      </c>
      <c r="I19" s="1" t="s">
        <v>182</v>
      </c>
    </row>
    <row r="20">
      <c r="A20" s="1" t="s">
        <v>87</v>
      </c>
      <c r="B20" s="13" t="s">
        <v>146</v>
      </c>
      <c r="C20" s="13" t="s">
        <v>216</v>
      </c>
      <c r="D20" s="1" t="s">
        <v>183</v>
      </c>
      <c r="F20" s="1" t="s">
        <v>88</v>
      </c>
      <c r="G20" s="13" t="s">
        <v>172</v>
      </c>
      <c r="H20" s="14" t="s">
        <v>215</v>
      </c>
      <c r="I20" s="1" t="s">
        <v>184</v>
      </c>
    </row>
    <row r="21">
      <c r="A21" s="1" t="s">
        <v>89</v>
      </c>
      <c r="B21" s="13" t="s">
        <v>150</v>
      </c>
      <c r="C21" s="14" t="s">
        <v>216</v>
      </c>
      <c r="D21" s="1" t="s">
        <v>185</v>
      </c>
      <c r="F21" s="1" t="s">
        <v>90</v>
      </c>
      <c r="G21" s="13" t="s">
        <v>122</v>
      </c>
      <c r="H21" s="14" t="s">
        <v>217</v>
      </c>
      <c r="I21" s="1" t="s">
        <v>186</v>
      </c>
    </row>
    <row r="22">
      <c r="A22" s="1" t="s">
        <v>91</v>
      </c>
      <c r="B22" s="13" t="s">
        <v>154</v>
      </c>
      <c r="C22" s="13" t="s">
        <v>216</v>
      </c>
      <c r="D22" s="1" t="s">
        <v>187</v>
      </c>
      <c r="F22" s="1" t="s">
        <v>92</v>
      </c>
      <c r="G22" s="13" t="s">
        <v>128</v>
      </c>
      <c r="H22" s="14" t="s">
        <v>217</v>
      </c>
      <c r="I22" s="1" t="s">
        <v>188</v>
      </c>
    </row>
    <row r="23">
      <c r="A23" s="1" t="s">
        <v>93</v>
      </c>
      <c r="B23" s="13" t="s">
        <v>157</v>
      </c>
      <c r="C23" s="14" t="s">
        <v>216</v>
      </c>
      <c r="D23" s="1" t="s">
        <v>189</v>
      </c>
      <c r="F23" s="1" t="s">
        <v>94</v>
      </c>
      <c r="G23" s="13" t="s">
        <v>132</v>
      </c>
      <c r="H23" s="14" t="s">
        <v>217</v>
      </c>
      <c r="I23" s="1" t="s">
        <v>190</v>
      </c>
    </row>
    <row r="24">
      <c r="A24" s="1" t="s">
        <v>95</v>
      </c>
      <c r="B24" s="13" t="s">
        <v>160</v>
      </c>
      <c r="C24" s="13" t="s">
        <v>216</v>
      </c>
      <c r="D24" s="1" t="s">
        <v>191</v>
      </c>
      <c r="F24" s="1" t="s">
        <v>96</v>
      </c>
      <c r="G24" s="13" t="s">
        <v>136</v>
      </c>
      <c r="H24" s="14" t="s">
        <v>217</v>
      </c>
      <c r="I24" s="1" t="s">
        <v>192</v>
      </c>
    </row>
    <row r="25">
      <c r="A25" s="1" t="s">
        <v>97</v>
      </c>
      <c r="B25" s="13" t="s">
        <v>163</v>
      </c>
      <c r="C25" s="14" t="s">
        <v>216</v>
      </c>
      <c r="D25" s="1" t="s">
        <v>193</v>
      </c>
      <c r="F25" s="1" t="s">
        <v>98</v>
      </c>
      <c r="G25" s="13" t="s">
        <v>140</v>
      </c>
      <c r="H25" s="14" t="s">
        <v>217</v>
      </c>
      <c r="I25" s="1" t="s">
        <v>194</v>
      </c>
    </row>
    <row r="26">
      <c r="A26" s="1" t="s">
        <v>99</v>
      </c>
      <c r="B26" s="13" t="s">
        <v>166</v>
      </c>
      <c r="C26" s="13" t="s">
        <v>216</v>
      </c>
      <c r="D26" s="1" t="s">
        <v>195</v>
      </c>
      <c r="F26" s="1" t="s">
        <v>100</v>
      </c>
      <c r="G26" s="13" t="s">
        <v>144</v>
      </c>
      <c r="H26" s="14" t="s">
        <v>217</v>
      </c>
      <c r="I26" s="1" t="s">
        <v>196</v>
      </c>
    </row>
    <row r="27">
      <c r="A27" s="1" t="s">
        <v>101</v>
      </c>
      <c r="B27" s="13" t="s">
        <v>169</v>
      </c>
      <c r="C27" s="14" t="s">
        <v>216</v>
      </c>
      <c r="D27" s="1" t="s">
        <v>197</v>
      </c>
      <c r="F27" s="1" t="s">
        <v>102</v>
      </c>
      <c r="G27" s="13" t="s">
        <v>148</v>
      </c>
      <c r="H27" s="14" t="s">
        <v>217</v>
      </c>
      <c r="I27" s="1" t="s">
        <v>198</v>
      </c>
    </row>
    <row r="29">
      <c r="A29" s="11" t="s">
        <v>103</v>
      </c>
      <c r="B29" s="13" t="s">
        <v>172</v>
      </c>
      <c r="C29" s="13" t="s">
        <v>216</v>
      </c>
      <c r="D29" s="1" t="s">
        <v>199</v>
      </c>
      <c r="F29" s="1" t="s">
        <v>104</v>
      </c>
      <c r="G29" s="13" t="s">
        <v>125</v>
      </c>
      <c r="H29" s="14" t="s">
        <v>217</v>
      </c>
      <c r="I29" s="1" t="s">
        <v>200</v>
      </c>
    </row>
    <row r="30">
      <c r="A30" s="1" t="s">
        <v>105</v>
      </c>
      <c r="B30" s="13" t="s">
        <v>122</v>
      </c>
      <c r="C30" s="14" t="s">
        <v>215</v>
      </c>
      <c r="D30" s="1" t="s">
        <v>201</v>
      </c>
      <c r="F30" s="1" t="s">
        <v>106</v>
      </c>
      <c r="G30" s="13" t="s">
        <v>130</v>
      </c>
      <c r="H30" s="14" t="s">
        <v>217</v>
      </c>
      <c r="I30" s="1" t="s">
        <v>202</v>
      </c>
    </row>
    <row r="31">
      <c r="A31" s="1" t="s">
        <v>109</v>
      </c>
      <c r="B31" s="15" t="s">
        <v>218</v>
      </c>
      <c r="C31" s="15" t="s">
        <v>204</v>
      </c>
      <c r="F31" s="1" t="s">
        <v>110</v>
      </c>
      <c r="G31" s="13" t="s">
        <v>134</v>
      </c>
      <c r="H31" s="14" t="s">
        <v>217</v>
      </c>
      <c r="I31" s="1" t="s">
        <v>205</v>
      </c>
    </row>
    <row r="32">
      <c r="A32" s="1" t="s">
        <v>112</v>
      </c>
      <c r="B32" s="13" t="s">
        <v>132</v>
      </c>
      <c r="C32" s="14" t="s">
        <v>215</v>
      </c>
      <c r="D32" s="1" t="s">
        <v>206</v>
      </c>
      <c r="F32" s="1" t="s">
        <v>113</v>
      </c>
      <c r="G32" s="13" t="s">
        <v>138</v>
      </c>
      <c r="H32" s="14" t="s">
        <v>217</v>
      </c>
      <c r="I32" s="1" t="s">
        <v>207</v>
      </c>
    </row>
    <row r="33">
      <c r="A33" s="12" t="s">
        <v>114</v>
      </c>
      <c r="B33" s="13" t="s">
        <v>148</v>
      </c>
      <c r="C33" s="14" t="s">
        <v>216</v>
      </c>
      <c r="D33" s="1" t="s">
        <v>165</v>
      </c>
      <c r="F33" s="1" t="s">
        <v>115</v>
      </c>
      <c r="G33" s="13" t="s">
        <v>150</v>
      </c>
      <c r="H33" s="14" t="s">
        <v>215</v>
      </c>
      <c r="I33" s="1" t="s">
        <v>167</v>
      </c>
    </row>
    <row r="34">
      <c r="A34" s="16" t="s">
        <v>208</v>
      </c>
      <c r="B34" s="18" t="s">
        <v>209</v>
      </c>
      <c r="C34" s="1" t="s">
        <v>209</v>
      </c>
      <c r="F34" s="1" t="s">
        <v>117</v>
      </c>
      <c r="G34" s="13" t="s">
        <v>152</v>
      </c>
      <c r="H34" s="14" t="s">
        <v>217</v>
      </c>
      <c r="I34" s="1" t="s">
        <v>210</v>
      </c>
    </row>
    <row r="35">
      <c r="A35" s="1" t="s">
        <v>107</v>
      </c>
      <c r="B35" s="13" t="s">
        <v>128</v>
      </c>
      <c r="C35" s="13" t="s">
        <v>215</v>
      </c>
      <c r="D35" s="1" t="s">
        <v>211</v>
      </c>
      <c r="F35" s="1" t="s">
        <v>212</v>
      </c>
      <c r="G35" s="17" t="s">
        <v>209</v>
      </c>
      <c r="H35" s="18" t="s">
        <v>209</v>
      </c>
      <c r="I35" s="1" t="s">
        <v>209</v>
      </c>
    </row>
    <row r="36">
      <c r="G36" s="13"/>
      <c r="H36" s="13"/>
    </row>
    <row r="37">
      <c r="G37" s="13"/>
      <c r="H37" s="13"/>
    </row>
    <row r="38">
      <c r="G38" s="13"/>
      <c r="H38" s="13"/>
    </row>
    <row r="39">
      <c r="G39" s="13"/>
      <c r="H39" s="13"/>
    </row>
    <row r="40">
      <c r="G40" s="13"/>
      <c r="H40" s="13"/>
    </row>
    <row r="41">
      <c r="G41" s="13"/>
      <c r="H41" s="13"/>
    </row>
    <row r="42">
      <c r="G42" s="13"/>
      <c r="H42" s="13"/>
    </row>
    <row r="43">
      <c r="H43" s="13"/>
    </row>
    <row r="44">
      <c r="H44" s="13"/>
    </row>
    <row r="45">
      <c r="H45" s="13"/>
    </row>
    <row r="46">
      <c r="H46" s="13"/>
    </row>
    <row r="47">
      <c r="H47" s="13"/>
    </row>
    <row r="48">
      <c r="H48" s="13"/>
    </row>
    <row r="49">
      <c r="H49" s="13"/>
    </row>
    <row r="50">
      <c r="H50" s="13"/>
    </row>
  </sheetData>
  <drawing r:id="rId1"/>
</worksheet>
</file>